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Tracker" sheetId="1" state="visible" r:id="rId3"/>
    <sheet name="Method &amp; Sources" sheetId="2" state="visible" r:id="rId4"/>
    <sheet name="FotMob Seas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<sst xmlns="http://schemas.openxmlformats.org/spreadsheetml/2006/main" count="1769" uniqueCount="333">
  <si>
    <t xml:space="preserve">CRYSTAL PALACE TRANSFER RESEARCH TRACKER</t>
  </si>
  <si>
    <t xml:space="preserve">Research sample</t>
  </si>
  <si>
    <t xml:space="preserve">Still Palace-owned</t>
  </si>
  <si>
    <t xml:space="preserve">Departed</t>
  </si>
  <si>
    <t xml:space="preserve">Value coverage</t>
  </si>
  <si>
    <t xml:space="preserve">47 players</t>
  </si>
  <si>
    <t xml:space="preserve">First-team permanent arrivals</t>
  </si>
  <si>
    <t xml:space="preserve">Includes players currently on loan</t>
  </si>
  <si>
    <t xml:space="preserve">Sold or released</t>
  </si>
  <si>
    <t xml:space="preserve">Current value or sale fee</t>
  </si>
  <si>
    <t xml:space="preserve">VALUATION EQUATIONS — ALL FINANCIAL FIELDS ARE IN € MILLIONS</t>
  </si>
  <si>
    <t xml:space="preserve">VALUE USED
Current MV if Palace-owned; Sale Fee if departed</t>
  </si>
  <si>
    <t xml:space="preserve">VALUE GAIN / LOSS
Value Used − Fee Paid</t>
  </si>
  <si>
    <t xml:space="preserve">RETURN ON FEE
Value Gain/Loss ÷ Fee Paid</t>
  </si>
  <si>
    <t xml:space="preserve">PERFORMANCE FORMULAS
Min/Season, efficiency and rating average</t>
  </si>
  <si>
    <t xml:space="preserve">Player</t>
  </si>
  <si>
    <t xml:space="preserve">Pos</t>
  </si>
  <si>
    <t xml:space="preserve">Age@Signing</t>
  </si>
  <si>
    <t xml:space="preserve">Transfer Season</t>
  </si>
  <si>
    <t xml:space="preserve">Manager</t>
  </si>
  <si>
    <t xml:space="preserve">Transfer Type</t>
  </si>
  <si>
    <t xml:space="preserve">Fee Paid (€m)</t>
  </si>
  <si>
    <t xml:space="preserve">Club Signed From</t>
  </si>
  <si>
    <t xml:space="preserve">Source League</t>
  </si>
  <si>
    <t xml:space="preserve">Nationality</t>
  </si>
  <si>
    <t xml:space="preserve">Current Status</t>
  </si>
  <si>
    <t xml:space="preserve">Current Market Value (€m)</t>
  </si>
  <si>
    <t xml:space="preserve">Sale Fee (€m)</t>
  </si>
  <si>
    <t xml:space="preserve">Valuation Basis</t>
  </si>
  <si>
    <t xml:space="preserve">Value Used (€m)</t>
  </si>
  <si>
    <t xml:space="preserve">Gain/Loss Type</t>
  </si>
  <si>
    <t xml:space="preserve">Value Gain/Loss (€m)</t>
  </si>
  <si>
    <t xml:space="preserve">Return on Fee (%)</t>
  </si>
  <si>
    <t xml:space="preserve">MV at Signing (€m)</t>
  </si>
  <si>
    <t xml:space="preserve">Palace Usage</t>
  </si>
  <si>
    <t xml:space="preserve">Seasons Played</t>
  </si>
  <si>
    <t xml:space="preserve">Usage/Season</t>
  </si>
  <si>
    <t xml:space="preserve">Usage/Season per €1m</t>
  </si>
  <si>
    <t xml:space="preserve">Rating S1</t>
  </si>
  <si>
    <t xml:space="preserve">Rating S2</t>
  </si>
  <si>
    <t xml:space="preserve">Rating S3</t>
  </si>
  <si>
    <t xml:space="preserve">Rating S4</t>
  </si>
  <si>
    <t xml:space="preserve">Rating S5</t>
  </si>
  <si>
    <t xml:space="preserve">Rating S6</t>
  </si>
  <si>
    <t xml:space="preserve">Rating S7</t>
  </si>
  <si>
    <t xml:space="preserve">Rating S8</t>
  </si>
  <si>
    <t xml:space="preserve">Average FotMob Rating</t>
  </si>
  <si>
    <t xml:space="preserve">Value Source URL</t>
  </si>
  <si>
    <t xml:space="preserve">Usage Unit</t>
  </si>
  <si>
    <t xml:space="preserve">Season Data Status</t>
  </si>
  <si>
    <t xml:space="preserve">Season Data Source</t>
  </si>
  <si>
    <t xml:space="preserve">Mamadou Sakho</t>
  </si>
  <si>
    <t xml:space="preserve">DF</t>
  </si>
  <si>
    <t xml:space="preserve">2017/18</t>
  </si>
  <si>
    <t xml:space="preserve">Paid</t>
  </si>
  <si>
    <t xml:space="preserve">Liverpool</t>
  </si>
  <si>
    <t xml:space="preserve">Premier League</t>
  </si>
  <si>
    <t xml:space="preserve">France / Senegal</t>
  </si>
  <si>
    <t xml:space="preserve">Released / Free</t>
  </si>
  <si>
    <t xml:space="preserve">https://www.transfermarkt.com/crystal-palace/alletransfers/verein/873</t>
  </si>
  <si>
    <t xml:space="preserve">Minutes</t>
  </si>
  <si>
    <t xml:space="preserve">Complete</t>
  </si>
  <si>
    <t xml:space="preserve">User-provided FotMob</t>
  </si>
  <si>
    <t xml:space="preserve">Alexander Sørloth</t>
  </si>
  <si>
    <t xml:space="preserve">FW</t>
  </si>
  <si>
    <t xml:space="preserve">Central Jutland</t>
  </si>
  <si>
    <t xml:space="preserve">Super League</t>
  </si>
  <si>
    <t xml:space="preserve">Norway</t>
  </si>
  <si>
    <t xml:space="preserve">Sold</t>
  </si>
  <si>
    <t xml:space="preserve">Jaïro Riedewald</t>
  </si>
  <si>
    <t xml:space="preserve">MD</t>
  </si>
  <si>
    <t xml:space="preserve">Ajax</t>
  </si>
  <si>
    <t xml:space="preserve">Eredivisie</t>
  </si>
  <si>
    <t xml:space="preserve">Netherlands / Suriname</t>
  </si>
  <si>
    <t xml:space="preserve">https://www.transfermarkt.com/crystal-palace/rekordabgaenge/verein/873/saison_id/2024</t>
  </si>
  <si>
    <t xml:space="preserve">Jarosław Jach</t>
  </si>
  <si>
    <t xml:space="preserve">Zagłębie Lubin</t>
  </si>
  <si>
    <t xml:space="preserve">Ekstraklasa</t>
  </si>
  <si>
    <t xml:space="preserve">Poland</t>
  </si>
  <si>
    <t xml:space="preserve">Complete — no Palace PL usage</t>
  </si>
  <si>
    <t xml:space="preserve">Diego Cavalieri</t>
  </si>
  <si>
    <t xml:space="preserve">GK</t>
  </si>
  <si>
    <t xml:space="preserve">Free transfer</t>
  </si>
  <si>
    <t xml:space="preserve">Without Club</t>
  </si>
  <si>
    <t xml:space="preserve">Brazil / Italy</t>
  </si>
  <si>
    <t xml:space="preserve">Matches</t>
  </si>
  <si>
    <t xml:space="preserve">Cheikhou Kouyaté</t>
  </si>
  <si>
    <t xml:space="preserve">2018/19</t>
  </si>
  <si>
    <t xml:space="preserve">West Ham</t>
  </si>
  <si>
    <t xml:space="preserve">Senegal / Belgium</t>
  </si>
  <si>
    <t xml:space="preserve">Max Meyer</t>
  </si>
  <si>
    <t xml:space="preserve">FC Schalke 04</t>
  </si>
  <si>
    <t xml:space="preserve">Bundesliga</t>
  </si>
  <si>
    <t xml:space="preserve">Germany</t>
  </si>
  <si>
    <t xml:space="preserve">Bakary Sako</t>
  </si>
  <si>
    <t xml:space="preserve">West Brom</t>
  </si>
  <si>
    <t xml:space="preserve">Championship</t>
  </si>
  <si>
    <t xml:space="preserve">Mali / France</t>
  </si>
  <si>
    <t xml:space="preserve">Vicente Guaita</t>
  </si>
  <si>
    <t xml:space="preserve">Getafe</t>
  </si>
  <si>
    <t xml:space="preserve">LaLiga</t>
  </si>
  <si>
    <t xml:space="preserve">Spain</t>
  </si>
  <si>
    <t xml:space="preserve">James McCarthy</t>
  </si>
  <si>
    <t xml:space="preserve">2019/20</t>
  </si>
  <si>
    <t xml:space="preserve">Everton</t>
  </si>
  <si>
    <t xml:space="preserve">Ireland / Scotland</t>
  </si>
  <si>
    <t xml:space="preserve">Jordan Ayew</t>
  </si>
  <si>
    <t xml:space="preserve">Swansea City</t>
  </si>
  <si>
    <t xml:space="preserve">Ghana / France</t>
  </si>
  <si>
    <t xml:space="preserve">Gary Cahill</t>
  </si>
  <si>
    <t xml:space="preserve">Chelsea</t>
  </si>
  <si>
    <t xml:space="preserve">England</t>
  </si>
  <si>
    <t xml:space="preserve">Stephen Henderson</t>
  </si>
  <si>
    <t xml:space="preserve">Nottingham Forest</t>
  </si>
  <si>
    <t xml:space="preserve">Ireland</t>
  </si>
  <si>
    <t xml:space="preserve">Eberechi Eze</t>
  </si>
  <si>
    <t xml:space="preserve">2020/21</t>
  </si>
  <si>
    <t xml:space="preserve">QPR</t>
  </si>
  <si>
    <t xml:space="preserve">England / Nigeria</t>
  </si>
  <si>
    <t xml:space="preserve">https://www.transfermarkt.com/crystal-palace/rekordabgaenge/verein/873/saison_id/2025/pos//detailpos/0/w_s//plus/1</t>
  </si>
  <si>
    <t xml:space="preserve">Jack Butland</t>
  </si>
  <si>
    <t xml:space="preserve">Stoke City</t>
  </si>
  <si>
    <t xml:space="preserve">Nathaniel Clyne</t>
  </si>
  <si>
    <t xml:space="preserve">England / Grenada</t>
  </si>
  <si>
    <t xml:space="preserve">Still at Palace</t>
  </si>
  <si>
    <t xml:space="preserve">https://www.transfermarkt.com/crystal-palace/marktwertanalyse/verein/873</t>
  </si>
  <si>
    <t xml:space="preserve">Nathan Ferguson</t>
  </si>
  <si>
    <t xml:space="preserve">England / Jamaica</t>
  </si>
  <si>
    <t xml:space="preserve">Complete — some low-use ratings N/A</t>
  </si>
  <si>
    <t xml:space="preserve">Marc Guéhi</t>
  </si>
  <si>
    <t xml:space="preserve">2021/22</t>
  </si>
  <si>
    <t xml:space="preserve">England / Côte d’Ivoire</t>
  </si>
  <si>
    <t xml:space="preserve">Joachim Andersen</t>
  </si>
  <si>
    <t xml:space="preserve">Lyon</t>
  </si>
  <si>
    <t xml:space="preserve">Ligue 1</t>
  </si>
  <si>
    <t xml:space="preserve">Denmark</t>
  </si>
  <si>
    <t xml:space="preserve">FotMob via CraftedFC</t>
  </si>
  <si>
    <t xml:space="preserve">Odsonne Édouard</t>
  </si>
  <si>
    <t xml:space="preserve">Celtic</t>
  </si>
  <si>
    <t xml:space="preserve">Premiership</t>
  </si>
  <si>
    <t xml:space="preserve">France / Haiti</t>
  </si>
  <si>
    <t xml:space="preserve">Complete; 1 partial season excluded</t>
  </si>
  <si>
    <t xml:space="preserve">Jean-Philippe Mateta</t>
  </si>
  <si>
    <t xml:space="preserve">Mainz</t>
  </si>
  <si>
    <t xml:space="preserve">France / DR Congo</t>
  </si>
  <si>
    <t xml:space="preserve">Michael Olise</t>
  </si>
  <si>
    <t xml:space="preserve">Reading</t>
  </si>
  <si>
    <t xml:space="preserve">France / England</t>
  </si>
  <si>
    <t xml:space="preserve">Will Hughes</t>
  </si>
  <si>
    <t xml:space="preserve">Watford</t>
  </si>
  <si>
    <t xml:space="preserve">Remi Matthews</t>
  </si>
  <si>
    <t xml:space="preserve">Sunderland</t>
  </si>
  <si>
    <t xml:space="preserve">League One</t>
  </si>
  <si>
    <t xml:space="preserve">FotMob / official PL</t>
  </si>
  <si>
    <t xml:space="preserve">Cheick Doucouré</t>
  </si>
  <si>
    <t xml:space="preserve">2022/23</t>
  </si>
  <si>
    <t xml:space="preserve">Lens</t>
  </si>
  <si>
    <t xml:space="preserve">Mali</t>
  </si>
  <si>
    <t xml:space="preserve">FotMob / official usage backup</t>
  </si>
  <si>
    <t xml:space="preserve">Chris Richards</t>
  </si>
  <si>
    <t xml:space="preserve">Bayern Munich</t>
  </si>
  <si>
    <t xml:space="preserve">USA</t>
  </si>
  <si>
    <t xml:space="preserve">Naouirou Ahamada</t>
  </si>
  <si>
    <t xml:space="preserve">Stuttgart</t>
  </si>
  <si>
    <t xml:space="preserve">France / Comoros</t>
  </si>
  <si>
    <t xml:space="preserve">Sam Johnstone</t>
  </si>
  <si>
    <t xml:space="preserve">Malcolm Ebiowei</t>
  </si>
  <si>
    <t xml:space="preserve">Derby County</t>
  </si>
  <si>
    <t xml:space="preserve">England / Netherlands</t>
  </si>
  <si>
    <t xml:space="preserve">Adam Wharton</t>
  </si>
  <si>
    <t xml:space="preserve">2023/24</t>
  </si>
  <si>
    <t xml:space="preserve">Blackburn Rovers</t>
  </si>
  <si>
    <t xml:space="preserve">Matheus França</t>
  </si>
  <si>
    <t xml:space="preserve">Flamengo</t>
  </si>
  <si>
    <t xml:space="preserve">Série A</t>
  </si>
  <si>
    <t xml:space="preserve">Brazil</t>
  </si>
  <si>
    <t xml:space="preserve">Still at Palace (on loan)</t>
  </si>
  <si>
    <t xml:space="preserve">Dean Henderson</t>
  </si>
  <si>
    <t xml:space="preserve">Manchester United</t>
  </si>
  <si>
    <t xml:space="preserve">Daniel Muñoz</t>
  </si>
  <si>
    <t xml:space="preserve">Genk</t>
  </si>
  <si>
    <t xml:space="preserve">Jupiler Pro League</t>
  </si>
  <si>
    <t xml:space="preserve">Colombia</t>
  </si>
  <si>
    <t xml:space="preserve">Rob Holding</t>
  </si>
  <si>
    <t xml:space="preserve">Arsenal</t>
  </si>
  <si>
    <t xml:space="preserve">England / USA</t>
  </si>
  <si>
    <t xml:space="preserve">Jefferson Lerma</t>
  </si>
  <si>
    <t xml:space="preserve">Bournemouth</t>
  </si>
  <si>
    <t xml:space="preserve">Eddie Nketiah</t>
  </si>
  <si>
    <t xml:space="preserve">2024/25</t>
  </si>
  <si>
    <t xml:space="preserve">England / Ghana</t>
  </si>
  <si>
    <t xml:space="preserve">Maxence Lacroix</t>
  </si>
  <si>
    <t xml:space="preserve">Wolfsburg</t>
  </si>
  <si>
    <t xml:space="preserve">France</t>
  </si>
  <si>
    <t xml:space="preserve">Ismaïla Sarr</t>
  </si>
  <si>
    <t xml:space="preserve">Marseille</t>
  </si>
  <si>
    <t xml:space="preserve">Senegal</t>
  </si>
  <si>
    <t xml:space="preserve">Chadi Riad</t>
  </si>
  <si>
    <t xml:space="preserve">Real Betis</t>
  </si>
  <si>
    <t xml:space="preserve">Morocco / Spain</t>
  </si>
  <si>
    <t xml:space="preserve">Romain Esse</t>
  </si>
  <si>
    <t xml:space="preserve">Millwall</t>
  </si>
  <si>
    <t xml:space="preserve">Complete — some low-use ratings N/A; 1 partial season excluded</t>
  </si>
  <si>
    <t xml:space="preserve">Daichi Kamada</t>
  </si>
  <si>
    <t xml:space="preserve">Lazio</t>
  </si>
  <si>
    <t xml:space="preserve">Serie A</t>
  </si>
  <si>
    <t xml:space="preserve">Japan</t>
  </si>
  <si>
    <t xml:space="preserve">Jørgen Strand Larsen</t>
  </si>
  <si>
    <t xml:space="preserve">2025/26</t>
  </si>
  <si>
    <t xml:space="preserve">Wolves</t>
  </si>
  <si>
    <t xml:space="preserve">Brennan Johnson</t>
  </si>
  <si>
    <t xml:space="preserve">Tottenham</t>
  </si>
  <si>
    <t xml:space="preserve">Wales / England</t>
  </si>
  <si>
    <t xml:space="preserve">Yéremy Pino</t>
  </si>
  <si>
    <t xml:space="preserve">Villarreal</t>
  </si>
  <si>
    <t xml:space="preserve">Jaydee Canvot</t>
  </si>
  <si>
    <t xml:space="preserve">Toulouse</t>
  </si>
  <si>
    <t xml:space="preserve">Borna Sosa</t>
  </si>
  <si>
    <t xml:space="preserve">Croatia / Germany</t>
  </si>
  <si>
    <t xml:space="preserve">Walter Benítez</t>
  </si>
  <si>
    <t xml:space="preserve">PSV</t>
  </si>
  <si>
    <t xml:space="preserve">Argentina / France</t>
  </si>
  <si>
    <t xml:space="preserve">VALUATION METHOD AND SOURCES</t>
  </si>
  <si>
    <t xml:space="preserve">Item</t>
  </si>
  <si>
    <t xml:space="preserve">Method</t>
  </si>
  <si>
    <t xml:space="preserve">Formula</t>
  </si>
  <si>
    <t xml:space="preserve">Source</t>
  </si>
  <si>
    <t xml:space="preserve">Currency</t>
  </si>
  <si>
    <t xml:space="preserve">Interpretation</t>
  </si>
  <si>
    <t xml:space="preserve">Key limitation</t>
  </si>
  <si>
    <t xml:space="preserve">Checked</t>
  </si>
  <si>
    <t xml:space="preserve">Still Palace-owned players</t>
  </si>
  <si>
    <t xml:space="preserve">Use latest Transfermarkt current market value</t>
  </si>
  <si>
    <t xml:space="preserve">Value Used = Current Market Value</t>
  </si>
  <si>
    <t xml:space="preserve">https://www.transfermarkt.com/crystal-palace/kader/verein/873</t>
  </si>
  <si>
    <t xml:space="preserve">EUR millions</t>
  </si>
  <si>
    <t xml:space="preserve">Unrealised value estimate</t>
  </si>
  <si>
    <t xml:space="preserve">Market value is an estimate, not a guaranteed sale price.</t>
  </si>
  <si>
    <t xml:space="preserve">29-Jul-2026</t>
  </si>
  <si>
    <t xml:space="preserve">Sold players</t>
  </si>
  <si>
    <t xml:space="preserve">Use Transfermarkt-listed departure fee</t>
  </si>
  <si>
    <t xml:space="preserve">Value Used = Sale Fee</t>
  </si>
  <si>
    <t xml:space="preserve">Realised transfer value</t>
  </si>
  <si>
    <t xml:space="preserve">Listed fees may omit or simplify add-ons, sell-on clauses or shared proceeds.</t>
  </si>
  <si>
    <t xml:space="preserve">Released / free departures</t>
  </si>
  <si>
    <t xml:space="preserve">Record sale fee as zero</t>
  </si>
  <si>
    <t xml:space="preserve">Value Used = €0m</t>
  </si>
  <si>
    <t xml:space="preserve">Does not include saved wages or termination costs.</t>
  </si>
  <si>
    <t xml:space="preserve">Value Gain/Loss</t>
  </si>
  <si>
    <t xml:space="preserve">Compare a consistent EUR value with the original EUR fee</t>
  </si>
  <si>
    <t xml:space="preserve">Value Used − Fee Paid</t>
  </si>
  <si>
    <t xml:space="preserve">Workbook formula</t>
  </si>
  <si>
    <t xml:space="preserve">Positive = gain; negative = loss</t>
  </si>
  <si>
    <t xml:space="preserve">Excludes wages, bonuses, agent fees, add-ons, amortisation and financing.</t>
  </si>
  <si>
    <t xml:space="preserve">Automatic</t>
  </si>
  <si>
    <t xml:space="preserve">Return on Fee</t>
  </si>
  <si>
    <t xml:space="preserve">Scale gain/loss by the original fee</t>
  </si>
  <si>
    <t xml:space="preserve">Value Gain/Loss ÷ Fee Paid</t>
  </si>
  <si>
    <t xml:space="preserve">Percentage</t>
  </si>
  <si>
    <t xml:space="preserve">Relative transfer-value return</t>
  </si>
  <si>
    <t xml:space="preserve">Blank for free transfers because division by zero is not meaningful.</t>
  </si>
  <si>
    <t xml:space="preserve">IMPORTANT DATA NOTE</t>
  </si>
  <si>
    <t xml:space="preserve">The previous workbook mixed pound-denominated labels with euro-denominated Transfermarkt data. This version standardises the original fees, current market values and sale fees to euros, so the gain/loss formulas compare like with like. For players still owned by Palace, the result is unrealised; for departed players, it is realised. Transfermarkt values and reported fees should be treated as consistent research estimates rather than audited accounting figures.</t>
  </si>
  <si>
    <t xml:space="preserve">CRYSTAL PALACE — FOTMOB PREMIER LEAGUE SEASON DATA</t>
  </si>
  <si>
    <t xml:space="preserve">PLAYERS</t>
  </si>
  <si>
    <t xml:space="preserve">SEASON ROWS</t>
  </si>
  <si>
    <t xml:space="preserve">RATED SEASONS</t>
  </si>
  <si>
    <t xml:space="preserve">COUNTED SEASONS</t>
  </si>
  <si>
    <t xml:space="preserve">EXCLUDED PARTIALS</t>
  </si>
  <si>
    <t xml:space="preserve">Method: Premier League only. Outfield usage is minutes; goalkeeper usage is matches. A season counts only when usage is above zero and Include in Metrics = Yes. The average rating is an unweighted mean of the available FotMob season averages. Zero-minute seasons and ratings not published by FotMob remain blank. Tiny partial departure seasons are excluded where agreed.</t>
  </si>
  <si>
    <t xml:space="preserve">Permanent Transfer Season</t>
  </si>
  <si>
    <t xml:space="preserve">Palace Season</t>
  </si>
  <si>
    <t xml:space="preserve">Usage</t>
  </si>
  <si>
    <t xml:space="preserve">FotMob Rating</t>
  </si>
  <si>
    <t xml:space="preserve">Include in Metrics</t>
  </si>
  <si>
    <t xml:space="preserve">Counts as Season</t>
  </si>
  <si>
    <t xml:space="preserve">Data Origin</t>
  </si>
  <si>
    <t xml:space="preserve">Source URL</t>
  </si>
  <si>
    <t xml:space="preserve">Notes</t>
  </si>
  <si>
    <t xml:space="preserve">Yes</t>
  </si>
  <si>
    <t xml:space="preserve">https://www.fotmob.com/teams/9826/overview/crystal-palace</t>
  </si>
  <si>
    <t xml:space="preserve">0-minute seasons do not count as seasons played.</t>
  </si>
  <si>
    <t xml:space="preserve">No Palace Premier League minutes.</t>
  </si>
  <si>
    <t xml:space="preserve">No Palace Premier League appearances.</t>
  </si>
  <si>
    <t xml:space="preserve">0-minute season does not count.</t>
  </si>
  <si>
    <t xml:space="preserve">The isolated 2024/25 Palace cameo is excluded as agreed.</t>
  </si>
  <si>
    <t xml:space="preserve">FotMob did not publish a reliable season average for the eight-minute appearance.</t>
  </si>
  <si>
    <t xml:space="preserve">Partial 2025/26 Palace spell excluded.</t>
  </si>
  <si>
    <t xml:space="preserve">https://craftedfc.com/player-ratings/joachim-andersen</t>
  </si>
  <si>
    <t xml:space="preserve">https://craftedfc.com/player-ratings/odsonne-edouard</t>
  </si>
  <si>
    <t xml:space="preserve">2025/26 two-minute Palace appearance excluded; 2024/25 was at Leicester.</t>
  </si>
  <si>
    <t xml:space="preserve">No</t>
  </si>
  <si>
    <t xml:space="preserve">Excluded partial departure season.</t>
  </si>
  <si>
    <t xml:space="preserve">https://craftedfc.com/player-ratings/jean-philippe-mateta</t>
  </si>
  <si>
    <t xml:space="preserve">The pre-permanent 2020/21 loan season is excluded.</t>
  </si>
  <si>
    <t xml:space="preserve">https://craftedfc.com/player-ratings/michael-olise</t>
  </si>
  <si>
    <t xml:space="preserve">https://craftedfc.com/player-ratings/will-hughes</t>
  </si>
  <si>
    <t xml:space="preserve">No season average was displayed for 2021/22.</t>
  </si>
  <si>
    <t xml:space="preserve">https://www.premierleague.com/en/players/169593/remi-matthews/overview</t>
  </si>
  <si>
    <t xml:space="preserve">2022/23 loan season excluded. One Palace PL appearance came in 2023/24.</t>
  </si>
  <si>
    <t xml:space="preserve">https://www.fotmob.com/players/951954/cheick-oumar-doucoure</t>
  </si>
  <si>
    <t xml:space="preserve">Later low-usage/injury seasons have no published season average.</t>
  </si>
  <si>
    <t xml:space="preserve">https://craftedfc.com/player-ratings/chris-richards</t>
  </si>
  <si>
    <t xml:space="preserve">https://www.fotmob.com/en-GB/players/1192854/naouirou-ahamada</t>
  </si>
  <si>
    <t xml:space="preserve">FotMob did not display a reliable Palace season average for the limited minutes.</t>
  </si>
  <si>
    <t xml:space="preserve">https://www.fotmob.com/</t>
  </si>
  <si>
    <t xml:space="preserve">Goalkeeper usage is measured in matches.</t>
  </si>
  <si>
    <t xml:space="preserve">Limited Palace minutes; no reliable season average displayed.</t>
  </si>
  <si>
    <t xml:space="preserve">https://craftedfc.com/player-ratings/adam-wharton</t>
  </si>
  <si>
    <t xml:space="preserve">No season average was displayed for the first two lower-minute seasons.</t>
  </si>
  <si>
    <t xml:space="preserve">https://www.fotmob.com/en-GB/players/1316124/matheus-franca</t>
  </si>
  <si>
    <t xml:space="preserve">FotMob did not display a reliable Palace season average.</t>
  </si>
  <si>
    <t xml:space="preserve">https://craftedfc.com/player-ratings/dean-henderson</t>
  </si>
  <si>
    <t xml:space="preserve">https://craftedfc.com/player-ratings/daniel-munoz</t>
  </si>
  <si>
    <t xml:space="preserve">No Palace Premier League appearance.</t>
  </si>
  <si>
    <t xml:space="preserve">https://craftedfc.com/player-ratings/jefferson-lerma</t>
  </si>
  <si>
    <t xml:space="preserve">https://craftedfc.com/player-ratings/edward-nketiah</t>
  </si>
  <si>
    <t xml:space="preserve">No published 2025/26 season average for the limited minutes.</t>
  </si>
  <si>
    <t xml:space="preserve">https://craftedfc.com/player-ratings/maxence-lacroix</t>
  </si>
  <si>
    <t xml:space="preserve">https://craftedfc.com/player-ratings/ismaila-sarr</t>
  </si>
  <si>
    <t xml:space="preserve">https://craftedfc.com/player-ratings/chadi-riad</t>
  </si>
  <si>
    <t xml:space="preserve">FotMob did not display a reliable season average.</t>
  </si>
  <si>
    <t xml:space="preserve">https://craftedfc.com/player-ratings/romain-esse</t>
  </si>
  <si>
    <t xml:space="preserve">January arrival season; no reliable season average displayed.</t>
  </si>
  <si>
    <t xml:space="preserve">Excluded partial departure/loan season.</t>
  </si>
  <si>
    <t xml:space="preserve">https://craftedfc.com/player-ratings/daichi-kamada</t>
  </si>
  <si>
    <t xml:space="preserve">https://craftedfc.com/player-ratings/j-rgen-strand-larsen</t>
  </si>
  <si>
    <t xml:space="preserve">https://craftedfc.com/player-ratings/brennan-johnson</t>
  </si>
  <si>
    <t xml:space="preserve">https://craftedfc.com/player-ratings/yeremi-pino</t>
  </si>
  <si>
    <t xml:space="preserve">https://craftedfc.com/player-ratings/jaydee-canvot</t>
  </si>
  <si>
    <t xml:space="preserve">https://craftedfc.com/player-ratings/borna-sosa</t>
  </si>
  <si>
    <t xml:space="preserve">https://craftedfc.com/player-ratings/walter-benitez</t>
  </si>
  <si>
    <t xml:space="preserve">One Premier League appearance; no reliable season average displayed.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</si>
</sst>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€0.00\m"/>
    <numFmt numFmtId="167" formatCode="0.0%"/>
    <numFmt numFmtId="168" formatCode="#,##0.0"/>
    <numFmt numFmtId="169" formatCode="0.00"/>
    <numFmt numFmtId="170" formatCode="#,##0"/>
    <numFmt numFmtId="171" formatCode="0.0"/>
    <numFmt numFmtId="172" formatCode="General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087A4B"/>
      <name val="Calibri"/>
      <family val="0"/>
      <charset val="1"/>
    </font>
    <font>
      <sz val="9"/>
      <color rgb="FF657186"/>
      <name val="Calibri"/>
      <family val="0"/>
      <charset val="1"/>
    </font>
    <font>
      <b val="true"/>
      <sz val="10"/>
      <color rgb="FF087A4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172033"/>
      <name val="Calibri"/>
      <family val="0"/>
      <charset val="1"/>
    </font>
    <font>
      <b val="true"/>
      <sz val="9"/>
      <color rgb="FF087A4B"/>
      <name val="Calibri"/>
      <family val="0"/>
      <charset val="1"/>
    </font>
    <font>
      <b val="true"/>
      <sz val="9"/>
      <color rgb="FF1720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72033"/>
      <name val="Calibri"/>
      <family val="0"/>
      <charset val="1"/>
    </font>
    <font>
      <b val="true"/>
      <sz val="11"/>
      <color rgb="FF087A4B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b val="true"/>
      <sz val="15"/>
      <color rgb="FF08734A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628"/>
        <bgColor rgb="FF172033"/>
      </patternFill>
    </fill>
    <fill>
      <patternFill patternType="solid">
        <fgColor rgb="FF13233D"/>
        <bgColor rgb="FF172033"/>
      </patternFill>
    </fill>
    <fill>
      <patternFill patternType="solid">
        <fgColor rgb="FFFFFFFF"/>
        <bgColor rgb="FFF8F9FC"/>
      </patternFill>
    </fill>
    <fill>
      <patternFill patternType="solid">
        <fgColor rgb="FFE8F7F0"/>
        <bgColor rgb="FFE8F6EF"/>
      </patternFill>
    </fill>
    <fill>
      <patternFill patternType="solid">
        <fgColor rgb="FF152A46"/>
        <bgColor rgb="FF13233D"/>
      </patternFill>
    </fill>
    <fill>
      <patternFill patternType="solid">
        <fgColor rgb="FFFFF9EE"/>
        <bgColor rgb="FFF8F9FC"/>
      </patternFill>
    </fill>
    <fill>
      <patternFill patternType="solid">
        <fgColor rgb="FFF3F8F6"/>
        <bgColor rgb="FFF5F7FA"/>
      </patternFill>
    </fill>
    <fill>
      <patternFill patternType="solid">
        <fgColor rgb="FFF8F9FC"/>
        <bgColor rgb="FFF5F7FA"/>
      </patternFill>
    </fill>
    <fill>
      <patternFill patternType="solid">
        <fgColor rgb="FFF5F7FA"/>
        <bgColor rgb="FFF3F8F6"/>
      </patternFill>
    </fill>
    <fill>
      <patternFill patternType="solid">
        <fgColor rgb="FFE8F6EF"/>
        <bgColor rgb="FFE8F7F0"/>
      </patternFill>
    </fill>
    <fill>
      <patternFill patternType="solid">
        <fgColor rgb="FFF3F5F8"/>
        <bgColor rgb="FFF5F7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2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2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2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2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4">
    <dxf>
      <fill>
        <patternFill patternType="solid">
          <fgColor rgb="FF0B162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2033"/>
          <bgColor rgb="FF000000"/>
        </patternFill>
      </fill>
    </dxf>
    <dxf>
      <fill>
        <patternFill patternType="solid">
          <fgColor rgb="FFD9F4E6"/>
          <bgColor rgb="FF000000"/>
        </patternFill>
      </fill>
    </dxf>
    <dxf>
      <fill>
        <patternFill patternType="solid">
          <fgColor rgb="FFE8EEF8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9EE"/>
          <bgColor rgb="FF000000"/>
        </patternFill>
      </fill>
    </dxf>
    <dxf>
      <fill>
        <patternFill patternType="solid">
          <fgColor rgb="FF087A4B"/>
          <bgColor rgb="FF000000"/>
        </patternFill>
      </fill>
    </dxf>
    <dxf>
      <fill>
        <patternFill patternType="solid">
          <fgColor rgb="FF204A87"/>
          <bgColor rgb="FF000000"/>
        </patternFill>
      </fill>
    </dxf>
    <dxf>
      <fill>
        <patternFill patternType="solid">
          <fgColor rgb="FF657186"/>
          <bgColor rgb="FF000000"/>
        </patternFill>
      </fill>
    </dxf>
    <dxf>
      <fill>
        <patternFill patternType="solid">
          <fgColor rgb="FFE8F7F0"/>
          <bgColor rgb="FF000000"/>
        </patternFill>
      </fill>
    </dxf>
    <dxf>
      <fill>
        <patternFill patternType="solid">
          <fgColor rgb="FFFCE8E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A650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152A46"/>
          <bgColor rgb="FF000000"/>
        </patternFill>
      </fill>
    </dxf>
    <dxf>
      <fill>
        <patternFill patternType="solid">
          <fgColor rgb="FFF3F8F6"/>
          <bgColor rgb="FF000000"/>
        </patternFill>
      </fill>
    </dxf>
    <dxf>
      <fill>
        <patternFill patternType="solid">
          <fgColor rgb="FFF8F9FC"/>
          <bgColor rgb="FF000000"/>
        </patternFill>
      </fill>
    </dxf>
    <dxf>
      <font>
        <b val="1"/>
        <color rgb="FF087A4B"/>
      </font>
      <fill>
        <patternFill>
          <bgColor rgb="FFD9F4E6"/>
        </patternFill>
      </fill>
    </dxf>
    <dxf>
      <font>
        <b val="1"/>
        <color rgb="FF204A87"/>
      </font>
      <fill>
        <patternFill>
          <bgColor rgb="FFE8EEF8"/>
        </patternFill>
      </fill>
    </dxf>
    <dxf>
      <font>
        <color rgb="FF657186"/>
      </font>
      <fill>
        <patternFill>
          <bgColor rgb="FFF5F7FA"/>
        </patternFill>
      </fill>
    </dxf>
    <dxf>
      <font>
        <b val="1"/>
        <color rgb="FFB42318"/>
      </font>
      <fill>
        <patternFill>
          <bgColor rgb="FFFCE8E8"/>
        </patternFill>
      </fill>
    </dxf>
    <dxf>
      <font>
        <b val="1"/>
        <color rgb="FF8A6500"/>
      </font>
      <fill>
        <patternFill>
          <bgColor rgb="FFFFF2CC"/>
        </patternFill>
      </fill>
    </dxf>
    <dxf>
      <font>
        <color rgb="FF8A6500"/>
      </font>
      <fill>
        <patternFill>
          <bgColor rgb="FFFFF2CC"/>
        </patternFill>
      </fill>
    </dxf>
    <dxf>
      <font>
        <color rgb="FFB42318"/>
      </font>
      <fill>
        <patternFill>
          <bgColor rgb="FFFCE8E8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7F2E4"/>
          <bgColor rgb="FF000000"/>
        </patternFill>
      </fill>
    </dxf>
    <dxf>
      <fill>
        <patternFill patternType="solid">
          <fgColor rgb="FFDCF2E1"/>
          <bgColor rgb="FF000000"/>
        </patternFill>
      </fill>
    </dxf>
    <dxf>
      <fill>
        <patternFill patternType="solid">
          <fgColor rgb="FFE4F2DC"/>
          <bgColor rgb="FF000000"/>
        </patternFill>
      </fill>
    </dxf>
    <dxf>
      <fill>
        <patternFill patternType="solid">
          <fgColor rgb="FFE5F2DC"/>
          <bgColor rgb="FF000000"/>
        </patternFill>
      </fill>
    </dxf>
    <dxf>
      <fill>
        <patternFill patternType="solid">
          <fgColor rgb="FFE7F2DA"/>
          <bgColor rgb="FF000000"/>
        </patternFill>
      </fill>
    </dxf>
    <dxf>
      <fill>
        <patternFill patternType="solid">
          <fgColor rgb="FFE9F2D9"/>
          <bgColor rgb="FF000000"/>
        </patternFill>
      </fill>
    </dxf>
    <dxf>
      <fill>
        <patternFill patternType="solid">
          <fgColor rgb="FFEAF2D9"/>
          <bgColor rgb="FF000000"/>
        </patternFill>
      </fill>
    </dxf>
    <dxf>
      <fill>
        <patternFill patternType="solid">
          <fgColor rgb="FFECF2D7"/>
          <bgColor rgb="FF000000"/>
        </patternFill>
      </fill>
    </dxf>
    <dxf>
      <fill>
        <patternFill patternType="solid">
          <fgColor rgb="FFEEF2D6"/>
          <bgColor rgb="FF000000"/>
        </patternFill>
      </fill>
    </dxf>
    <dxf>
      <fill>
        <patternFill patternType="solid">
          <fgColor rgb="FFEFF2D5"/>
          <bgColor rgb="FF000000"/>
        </patternFill>
      </fill>
    </dxf>
    <dxf>
      <fill>
        <patternFill patternType="solid">
          <fgColor rgb="FFF1F2D4"/>
          <bgColor rgb="FF000000"/>
        </patternFill>
      </fill>
    </dxf>
    <dxf>
      <fill>
        <patternFill patternType="solid">
          <fgColor rgb="FFF2F2D3"/>
          <bgColor rgb="FF000000"/>
        </patternFill>
      </fill>
    </dxf>
    <dxf>
      <fill>
        <patternFill patternType="solid">
          <fgColor rgb="FFF2F2D4"/>
          <bgColor rgb="FF000000"/>
        </patternFill>
      </fill>
    </dxf>
    <dxf>
      <fill>
        <patternFill patternType="solid">
          <fgColor rgb="FFF3F2D3"/>
          <bgColor rgb="FF000000"/>
        </patternFill>
      </fill>
    </dxf>
    <dxf>
      <fill>
        <patternFill patternType="solid">
          <fgColor rgb="FFF4F2D2"/>
          <bgColor rgb="FF000000"/>
        </patternFill>
      </fill>
    </dxf>
    <dxf>
      <fill>
        <patternFill patternType="solid">
          <fgColor rgb="FFF4F2D3"/>
          <bgColor rgb="FF000000"/>
        </patternFill>
      </fill>
    </dxf>
    <dxf>
      <fill>
        <patternFill patternType="solid">
          <fgColor rgb="FFF5F2D2"/>
          <bgColor rgb="FF000000"/>
        </patternFill>
      </fill>
    </dxf>
    <dxf>
      <fill>
        <patternFill patternType="solid">
          <fgColor rgb="FFF6F2D1"/>
          <bgColor rgb="FF000000"/>
        </patternFill>
      </fill>
    </dxf>
    <dxf>
      <fill>
        <patternFill patternType="solid">
          <fgColor rgb="FFF7F2D0"/>
          <bgColor rgb="FF000000"/>
        </patternFill>
      </fill>
    </dxf>
    <dxf>
      <fill>
        <patternFill patternType="solid">
          <fgColor rgb="FFF7F2D1"/>
          <bgColor rgb="FF000000"/>
        </patternFill>
      </fill>
    </dxf>
    <dxf>
      <fill>
        <patternFill patternType="solid">
          <fgColor rgb="FFF9F2CF"/>
          <bgColor rgb="FF000000"/>
        </patternFill>
      </fill>
    </dxf>
    <dxf>
      <fill>
        <patternFill patternType="solid">
          <fgColor rgb="FFF9F2D0"/>
          <bgColor rgb="FF000000"/>
        </patternFill>
      </fill>
    </dxf>
    <dxf>
      <fill>
        <patternFill patternType="solid">
          <fgColor rgb="FFFAF2CF"/>
          <bgColor rgb="FF000000"/>
        </patternFill>
      </fill>
    </dxf>
    <dxf>
      <fill>
        <patternFill patternType="solid">
          <fgColor rgb="FFFBF2CE"/>
          <bgColor rgb="FF000000"/>
        </patternFill>
      </fill>
    </dxf>
    <dxf>
      <fill>
        <patternFill patternType="solid">
          <fgColor rgb="FFFCE9E3"/>
          <bgColor rgb="FF000000"/>
        </patternFill>
      </fill>
    </dxf>
    <dxf>
      <fill>
        <patternFill patternType="solid">
          <fgColor rgb="FFFCEAE1"/>
          <bgColor rgb="FF000000"/>
        </patternFill>
      </fill>
    </dxf>
    <dxf>
      <fill>
        <patternFill patternType="solid">
          <fgColor rgb="FFFCEBE0"/>
          <bgColor rgb="FF000000"/>
        </patternFill>
      </fill>
    </dxf>
    <dxf>
      <fill>
        <patternFill patternType="solid">
          <fgColor rgb="FFFCF2CD"/>
          <bgColor rgb="FF000000"/>
        </patternFill>
      </fill>
    </dxf>
    <dxf>
      <fill>
        <patternFill patternType="solid">
          <fgColor rgb="FFFCF2CE"/>
          <bgColor rgb="FF000000"/>
        </patternFill>
      </fill>
    </dxf>
    <dxf>
      <fill>
        <patternFill patternType="solid">
          <fgColor rgb="FFFDEBDE"/>
          <bgColor rgb="FF000000"/>
        </patternFill>
      </fill>
    </dxf>
    <dxf>
      <fill>
        <patternFill patternType="solid">
          <fgColor rgb="FFFDEBDF"/>
          <bgColor rgb="FF000000"/>
        </patternFill>
      </fill>
    </dxf>
    <dxf>
      <fill>
        <patternFill patternType="solid">
          <fgColor rgb="FFFDECDB"/>
          <bgColor rgb="FF000000"/>
        </patternFill>
      </fill>
    </dxf>
    <dxf>
      <fill>
        <patternFill patternType="solid">
          <fgColor rgb="FFFDECDC"/>
          <bgColor rgb="FF000000"/>
        </patternFill>
      </fill>
    </dxf>
    <dxf>
      <fill>
        <patternFill patternType="solid">
          <fgColor rgb="FFFDECDD"/>
          <bgColor rgb="FF000000"/>
        </patternFill>
      </fill>
    </dxf>
    <dxf>
      <fill>
        <patternFill patternType="solid">
          <fgColor rgb="FFFDEDD9"/>
          <bgColor rgb="FF000000"/>
        </patternFill>
      </fill>
    </dxf>
    <dxf>
      <fill>
        <patternFill patternType="solid">
          <fgColor rgb="FFFDEDDA"/>
          <bgColor rgb="FF000000"/>
        </patternFill>
      </fill>
    </dxf>
    <dxf>
      <fill>
        <patternFill patternType="solid">
          <fgColor rgb="FFFDEED6"/>
          <bgColor rgb="FF000000"/>
        </patternFill>
      </fill>
    </dxf>
    <dxf>
      <fill>
        <patternFill patternType="solid">
          <fgColor rgb="FFFDEED7"/>
          <bgColor rgb="FF000000"/>
        </patternFill>
      </fill>
    </dxf>
    <dxf>
      <fill>
        <patternFill patternType="solid">
          <fgColor rgb="FFFDEED8"/>
          <bgColor rgb="FF000000"/>
        </patternFill>
      </fill>
    </dxf>
    <dxf>
      <fill>
        <patternFill patternType="solid">
          <fgColor rgb="FFFDF2CD"/>
          <bgColor rgb="FF000000"/>
        </patternFill>
      </fill>
    </dxf>
    <dxf>
      <fill>
        <patternFill patternType="solid">
          <fgColor rgb="FFFEEED5"/>
          <bgColor rgb="FF000000"/>
        </patternFill>
      </fill>
    </dxf>
    <dxf>
      <fill>
        <patternFill patternType="solid">
          <fgColor rgb="FFFEEED6"/>
          <bgColor rgb="FF000000"/>
        </patternFill>
      </fill>
    </dxf>
    <dxf>
      <fill>
        <patternFill patternType="solid">
          <fgColor rgb="FFFEEFD2"/>
          <bgColor rgb="FF000000"/>
        </patternFill>
      </fill>
    </dxf>
    <dxf>
      <fill>
        <patternFill patternType="solid">
          <fgColor rgb="FFFEEFD3"/>
          <bgColor rgb="FF000000"/>
        </patternFill>
      </fill>
    </dxf>
    <dxf>
      <fill>
        <patternFill patternType="solid">
          <fgColor rgb="FFFEEFD4"/>
          <bgColor rgb="FF000000"/>
        </patternFill>
      </fill>
    </dxf>
    <dxf>
      <fill>
        <patternFill patternType="solid">
          <fgColor rgb="FFFEEFD5"/>
          <bgColor rgb="FF000000"/>
        </patternFill>
      </fill>
    </dxf>
    <dxf>
      <fill>
        <patternFill patternType="solid">
          <fgColor rgb="FFFEF0D0"/>
          <bgColor rgb="FF000000"/>
        </patternFill>
      </fill>
    </dxf>
    <dxf>
      <fill>
        <patternFill patternType="solid">
          <fgColor rgb="FFFEF0D1"/>
          <bgColor rgb="FF000000"/>
        </patternFill>
      </fill>
    </dxf>
    <dxf>
      <fill>
        <patternFill patternType="solid">
          <fgColor rgb="FFFEF0D2"/>
          <bgColor rgb="FF000000"/>
        </patternFill>
      </fill>
    </dxf>
    <dxf>
      <fill>
        <patternFill patternType="solid">
          <fgColor rgb="FFFEF1CD"/>
          <bgColor rgb="FF000000"/>
        </patternFill>
      </fill>
    </dxf>
    <dxf>
      <fill>
        <patternFill patternType="solid">
          <fgColor rgb="FFFEF1CE"/>
          <bgColor rgb="FF000000"/>
        </patternFill>
      </fill>
    </dxf>
    <dxf>
      <fill>
        <patternFill patternType="solid">
          <fgColor rgb="FFFEF2CC"/>
          <bgColor rgb="FF000000"/>
        </patternFill>
      </fill>
    </dxf>
    <dxf>
      <fill>
        <patternFill patternType="solid">
          <fgColor rgb="FFFEF2CD"/>
          <bgColor rgb="FF000000"/>
        </patternFill>
      </fill>
    </dxf>
    <dxf>
      <fill>
        <patternFill patternType="solid">
          <fgColor rgb="FFA33A3A"/>
          <bgColor rgb="FF000000"/>
        </patternFill>
      </fill>
    </dxf>
    <dxf>
      <fill>
        <patternFill patternType="solid">
          <fgColor rgb="FFE8F6EF"/>
          <bgColor rgb="FF000000"/>
        </patternFill>
      </fill>
    </dxf>
    <dxf>
      <fill>
        <patternFill patternType="solid">
          <fgColor rgb="FF08734A"/>
          <bgColor rgb="FF000000"/>
        </patternFill>
      </fill>
    </dxf>
    <dxf>
      <font>
        <b val="1"/>
        <color rgb="FFA33A3A"/>
      </font>
      <fill>
        <patternFill>
          <bgColor rgb="FFFCE8E8"/>
        </patternFill>
      </fill>
    </dxf>
    <dxf>
      <font>
        <b val="1"/>
        <color rgb="FF08734A"/>
      </font>
      <fill>
        <patternFill>
          <bgColor rgb="FFE8F6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500"/>
      <rgbColor rgb="FF800080"/>
      <rgbColor rgb="FF087A4B"/>
      <rgbColor rgb="FFF3F5F8"/>
      <rgbColor rgb="FF808080"/>
      <rgbColor rgb="FF9999FF"/>
      <rgbColor rgb="FFA33A3A"/>
      <rgbColor rgb="FFFFF2CC"/>
      <rgbColor rgb="FFD9F4E6"/>
      <rgbColor rgb="FF660066"/>
      <rgbColor rgb="FFFF8080"/>
      <rgbColor rgb="FF0066CC"/>
      <rgbColor rgb="FFE8EEF8"/>
      <rgbColor rgb="FF000080"/>
      <rgbColor rgb="FFFF00FF"/>
      <rgbColor rgb="FFFFFF00"/>
      <rgbColor rgb="FF00FFFF"/>
      <rgbColor rgb="FF800080"/>
      <rgbColor rgb="FF800000"/>
      <rgbColor rgb="FF08734A"/>
      <rgbColor rgb="FF0000FF"/>
      <rgbColor rgb="FF00CCFF"/>
      <rgbColor rgb="FFE8F7F0"/>
      <rgbColor rgb="FFE8F6EF"/>
      <rgbColor rgb="FFFFF9EE"/>
      <rgbColor rgb="FFF3F8F6"/>
      <rgbColor rgb="FFF5F7FA"/>
      <rgbColor rgb="FFF8F9FC"/>
      <rgbColor rgb="FFFCE8E8"/>
      <rgbColor rgb="FF3366FF"/>
      <rgbColor rgb="FF33CCCC"/>
      <rgbColor rgb="FF99CC00"/>
      <rgbColor rgb="FFFFCC00"/>
      <rgbColor rgb="FFFF9900"/>
      <rgbColor rgb="FFFF6600"/>
      <rgbColor rgb="FF657186"/>
      <rgbColor rgb="FF969696"/>
      <rgbColor rgb="FF152A46"/>
      <rgbColor rgb="FF339966"/>
      <rgbColor rgb="FF13233D"/>
      <rgbColor rgb="FF0B1628"/>
      <rgbColor rgb="FFB42318"/>
      <rgbColor rgb="FF993366"/>
      <rgbColor rgb="FF204A87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tMobSeasonTable" displayName="FotMobSeasonTable" ref="A7:L136" headerRowCount="1" totalsRowCount="0" totalsRowShown="0">
  <tableColumns count="12">
    <tableColumn id="1" name="Player"/>
    <tableColumn id="2" name="Pos"/>
    <tableColumn id="3" name="Permanent Transfer Season"/>
    <tableColumn id="4" name="Palace Season"/>
    <tableColumn id="5" name="Usage Unit"/>
    <tableColumn id="6" name="Usage"/>
    <tableColumn id="7" name="FotMob Rating"/>
    <tableColumn id="8" name="Include in Metrics"/>
    <tableColumn id="9" name="Counts as Season"/>
    <tableColumn id="10" name="Data Origin"/>
    <tableColumn id="11" name="Source URL"/>
    <tableColumn id="12" name="Notes"/>
  </tableColumns>
</table>
</file>

<file path=xl/tables/table2.xml><?xml version="1.0" encoding="utf-8"?>
<table xmlns="http://schemas.openxmlformats.org/spreadsheetml/2006/main" id="2" name="PalaceResearchTable" displayName="PalaceResearchTable" ref="A10:AG60" headerRowCount="1" totalsRowCount="0" totalsRowShown="0">
  <tableColumns count="33">
    <tableColumn id="1" name="Player"/>
    <tableColumn id="2" name="Pos"/>
    <tableColumn id="3" name="Age@Signing"/>
    <tableColumn id="4" name="Transfer Season"/>
    <tableColumn id="5" name="Manager"/>
    <tableColumn id="6" name="Transfer Type"/>
    <tableColumn id="7" name="Fee Paid (€m)"/>
    <tableColumn id="8" name="Club Signed From"/>
    <tableColumn id="9" name="Source League"/>
    <tableColumn id="10" name="Nationality"/>
    <tableColumn id="11" name="Current Status"/>
    <tableColumn id="12" name="Current Market Value (€m)"/>
    <tableColumn id="13" name="Sale Fee (€m)"/>
    <tableColumn id="14" name="Valuation Basis"/>
    <tableColumn id="15" name="Value Used (€m)"/>
    <tableColumn id="16" name="Gain/Loss Type"/>
    <tableColumn id="17" name="Value Gain/Loss (€m)"/>
    <tableColumn id="18" name="Return on Fee (%)"/>
    <tableColumn id="19" name="MV at Signing (€m)"/>
    <tableColumn id="20" name="Palace Usage"/>
    <tableColumn id="21" name="Seasons Played"/>
    <tableColumn id="22" name="Usage/Season"/>
    <tableColumn id="23" name="Usage/Season per €1m"/>
    <tableColumn id="24" name="Rating S1"/>
    <tableColumn id="25" name="Rating S2"/>
    <tableColumn id="26" name="Rating S3"/>
    <tableColumn id="27" name="Rating S4"/>
    <tableColumn id="28" name="Rating S5"/>
    <tableColumn id="29" name="Rating S6"/>
    <tableColumn id="30" name="Rating S7"/>
    <tableColumn id="31" name="Rating S8"/>
    <tableColumn id="32" name="Average FotMob Rating"/>
    <tableColumn id="33" name="Value Source UR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23"/>
    <col collapsed="false" customWidth="true" hidden="false" outlineLevel="0" max="11" min="11" style="1" width="24"/>
    <col collapsed="false" customWidth="true" hidden="false" outlineLevel="0" max="13" min="12" style="1" width="20"/>
    <col collapsed="false" customWidth="true" hidden="false" outlineLevel="0" max="14" min="14" style="1" width="21"/>
    <col collapsed="false" customWidth="true" hidden="false" outlineLevel="0" max="15" min="15" style="1" width="15"/>
    <col collapsed="false" customWidth="true" hidden="false" outlineLevel="0" max="16" min="16" style="1" width="14"/>
    <col collapsed="false" customWidth="true" hidden="false" outlineLevel="0" max="17" min="17" style="1" width="20"/>
    <col collapsed="false" customWidth="true" hidden="false" outlineLevel="0" max="18" min="18" style="1" width="16"/>
    <col collapsed="false" customWidth="true" hidden="false" outlineLevel="0" max="19" min="19" style="1" width="18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4"/>
    <col collapsed="false" customWidth="true" hidden="false" outlineLevel="0" max="23" min="23" style="1" width="17"/>
    <col collapsed="false" customWidth="true" hidden="false" outlineLevel="0" max="31" min="24" style="1" width="10"/>
    <col collapsed="false" customWidth="true" hidden="false" outlineLevel="0" max="32" min="32" style="1" width="15"/>
    <col collapsed="false" customWidth="true" hidden="false" outlineLevel="0" max="33" min="33" style="1" width="42"/>
    <col collapsed="false" customWidth="true" hidden="false" outlineLevel="0" max="34" min="34" style="1" width="11"/>
    <col collapsed="false" customWidth="true" hidden="false" outlineLevel="0" max="35" min="35" style="1" width="30"/>
    <col collapsed="false" customWidth="true" hidden="false" outlineLevel="0" max="36" min="36" style="1" width="3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customFormat="false" ht="15" hidden="false" customHeight="true" outlineLevel="0" collapsed="false">
      <c r="A2" s="3"/>
      <c r="B2" s="4" t="s">
        <v>1</v>
      </c>
      <c r="C2" s="4"/>
      <c r="D2" s="4"/>
      <c r="E2" s="4"/>
      <c r="F2" s="3"/>
      <c r="G2" s="4" t="s">
        <v>2</v>
      </c>
      <c r="H2" s="4"/>
      <c r="I2" s="4"/>
      <c r="J2" s="4"/>
      <c r="K2" s="3"/>
      <c r="L2" s="4" t="s">
        <v>3</v>
      </c>
      <c r="M2" s="4"/>
      <c r="N2" s="4"/>
      <c r="O2" s="4"/>
      <c r="P2" s="3"/>
      <c r="Q2" s="4" t="s">
        <v>4</v>
      </c>
      <c r="R2" s="4"/>
      <c r="S2" s="4"/>
      <c r="T2" s="4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customFormat="false" ht="15" hidden="false" customHeight="true" outlineLevel="0" collapsed="false">
      <c r="A3" s="3"/>
      <c r="B3" s="5" t="s">
        <v>5</v>
      </c>
      <c r="C3" s="5"/>
      <c r="D3" s="5"/>
      <c r="E3" s="5"/>
      <c r="F3" s="3"/>
      <c r="G3" s="5" t="n">
        <f aca="false">COUNTIF(K11:K57,"Still at Palace*")</f>
        <v>22</v>
      </c>
      <c r="H3" s="5"/>
      <c r="I3" s="5"/>
      <c r="J3" s="5"/>
      <c r="K3" s="3"/>
      <c r="L3" s="5" t="n">
        <f aca="false">COUNTIF(K11:K57,"Sold")+COUNTIF(K11:K57,"Released / Free")</f>
        <v>25</v>
      </c>
      <c r="M3" s="5"/>
      <c r="N3" s="5"/>
      <c r="O3" s="5"/>
      <c r="P3" s="3"/>
      <c r="Q3" s="5" t="n">
        <f aca="false">COUNT(O11:O57)</f>
        <v>47</v>
      </c>
      <c r="R3" s="5"/>
      <c r="S3" s="5"/>
      <c r="T3" s="5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5" hidden="false" customHeight="true" outlineLevel="0" collapsed="false">
      <c r="A4" s="3"/>
      <c r="B4" s="5"/>
      <c r="C4" s="5"/>
      <c r="D4" s="5"/>
      <c r="E4" s="5"/>
      <c r="F4" s="3"/>
      <c r="G4" s="5"/>
      <c r="H4" s="5"/>
      <c r="I4" s="5"/>
      <c r="J4" s="5"/>
      <c r="K4" s="3"/>
      <c r="L4" s="5"/>
      <c r="M4" s="5"/>
      <c r="N4" s="5"/>
      <c r="O4" s="5"/>
      <c r="P4" s="3"/>
      <c r="Q4" s="5"/>
      <c r="R4" s="5"/>
      <c r="S4" s="5"/>
      <c r="T4" s="5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customFormat="false" ht="15" hidden="false" customHeight="true" outlineLevel="0" collapsed="false">
      <c r="A5" s="3"/>
      <c r="B5" s="6" t="s">
        <v>6</v>
      </c>
      <c r="C5" s="6"/>
      <c r="D5" s="6"/>
      <c r="E5" s="6"/>
      <c r="F5" s="3"/>
      <c r="G5" s="6" t="s">
        <v>7</v>
      </c>
      <c r="H5" s="6"/>
      <c r="I5" s="6"/>
      <c r="J5" s="6"/>
      <c r="K5" s="3"/>
      <c r="L5" s="6" t="s">
        <v>8</v>
      </c>
      <c r="M5" s="6"/>
      <c r="N5" s="6"/>
      <c r="O5" s="6"/>
      <c r="P5" s="3"/>
      <c r="Q5" s="6" t="s">
        <v>9</v>
      </c>
      <c r="R5" s="6"/>
      <c r="S5" s="6"/>
      <c r="T5" s="6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customFormat="false" ht="15" hidden="false" customHeight="true" outlineLevel="0" collapsed="false">
      <c r="A7" s="7" t="s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3"/>
    </row>
    <row r="8" customFormat="false" ht="15" hidden="false" customHeight="true" outlineLevel="0" collapsed="false">
      <c r="A8" s="4" t="s">
        <v>11</v>
      </c>
      <c r="B8" s="4"/>
      <c r="C8" s="4"/>
      <c r="D8" s="4"/>
      <c r="E8" s="4"/>
      <c r="F8" s="4"/>
      <c r="G8" s="4"/>
      <c r="H8" s="4"/>
      <c r="I8" s="4" t="s">
        <v>12</v>
      </c>
      <c r="J8" s="4"/>
      <c r="K8" s="4"/>
      <c r="L8" s="4"/>
      <c r="M8" s="4"/>
      <c r="N8" s="4"/>
      <c r="O8" s="4"/>
      <c r="P8" s="4"/>
      <c r="Q8" s="4" t="s">
        <v>13</v>
      </c>
      <c r="R8" s="4"/>
      <c r="S8" s="4"/>
      <c r="T8" s="4"/>
      <c r="U8" s="4"/>
      <c r="V8" s="4"/>
      <c r="W8" s="4"/>
      <c r="X8" s="4"/>
      <c r="Y8" s="4" t="s">
        <v>14</v>
      </c>
      <c r="Z8" s="4"/>
      <c r="AA8" s="4"/>
      <c r="AB8" s="4"/>
      <c r="AC8" s="4"/>
      <c r="AD8" s="4"/>
      <c r="AE8" s="4"/>
      <c r="AF8" s="4"/>
      <c r="AG8" s="3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3"/>
    </row>
    <row r="10" customFormat="false" ht="37.5" hidden="false" customHeight="true" outlineLevel="0" collapsed="false">
      <c r="A10" s="8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24</v>
      </c>
      <c r="K10" s="8" t="s">
        <v>25</v>
      </c>
      <c r="L10" s="8" t="s">
        <v>26</v>
      </c>
      <c r="M10" s="8" t="s">
        <v>27</v>
      </c>
      <c r="N10" s="8" t="s">
        <v>28</v>
      </c>
      <c r="O10" s="8" t="s">
        <v>29</v>
      </c>
      <c r="P10" s="8" t="s">
        <v>30</v>
      </c>
      <c r="Q10" s="8" t="s">
        <v>31</v>
      </c>
      <c r="R10" s="8" t="s">
        <v>32</v>
      </c>
      <c r="S10" s="8" t="s">
        <v>33</v>
      </c>
      <c r="T10" s="9" t="s">
        <v>34</v>
      </c>
      <c r="U10" s="9" t="s">
        <v>35</v>
      </c>
      <c r="V10" s="9" t="s">
        <v>36</v>
      </c>
      <c r="W10" s="9" t="s">
        <v>37</v>
      </c>
      <c r="X10" s="9" t="s">
        <v>38</v>
      </c>
      <c r="Y10" s="9" t="s">
        <v>39</v>
      </c>
      <c r="Z10" s="9" t="s">
        <v>40</v>
      </c>
      <c r="AA10" s="9" t="s">
        <v>41</v>
      </c>
      <c r="AB10" s="9" t="s">
        <v>42</v>
      </c>
      <c r="AC10" s="9" t="s">
        <v>43</v>
      </c>
      <c r="AD10" s="9" t="s">
        <v>44</v>
      </c>
      <c r="AE10" s="9" t="s">
        <v>45</v>
      </c>
      <c r="AF10" s="9" t="s">
        <v>46</v>
      </c>
      <c r="AG10" s="9" t="s">
        <v>47</v>
      </c>
      <c r="AH10" s="9" t="s">
        <v>48</v>
      </c>
      <c r="AI10" s="9" t="s">
        <v>49</v>
      </c>
      <c r="AJ10" s="9" t="s">
        <v>50</v>
      </c>
    </row>
    <row r="11" customFormat="false" ht="24" hidden="false" customHeight="true" outlineLevel="0" collapsed="false">
      <c r="A11" s="10" t="s">
        <v>51</v>
      </c>
      <c r="B11" s="10" t="s">
        <v>52</v>
      </c>
      <c r="C11" s="11" t="n">
        <v>27</v>
      </c>
      <c r="D11" s="10" t="s">
        <v>53</v>
      </c>
      <c r="E11" s="10"/>
      <c r="F11" s="10" t="s">
        <v>54</v>
      </c>
      <c r="G11" s="12" t="n">
        <v>28.2</v>
      </c>
      <c r="H11" s="10" t="s">
        <v>55</v>
      </c>
      <c r="I11" s="10" t="s">
        <v>56</v>
      </c>
      <c r="J11" s="10" t="s">
        <v>57</v>
      </c>
      <c r="K11" s="13" t="s">
        <v>58</v>
      </c>
      <c r="L11" s="14"/>
      <c r="M11" s="14" t="n">
        <v>0</v>
      </c>
      <c r="N11" s="15" t="str">
        <f aca="false">IF(A11="","",IF(LEFT(K11,15)="Still at Palace","Current market value","Sale fee"))</f>
        <v>Sale fee</v>
      </c>
      <c r="O11" s="15" t="n">
        <f aca="false">IF(K11="Sold",M11,IF(OR(K11="Still at Palace",K11="Still at Palace (on loan)"),L11,0))</f>
        <v>0</v>
      </c>
      <c r="P11" s="15" t="str">
        <f aca="false">IF(Q11&gt;0,"Gain",IF(Q11&lt;0,"Loss","Neutral"))</f>
        <v>Loss</v>
      </c>
      <c r="Q11" s="15" t="n">
        <f aca="false">O11-G11</f>
        <v>-28.2</v>
      </c>
      <c r="R11" s="16" t="n">
        <f aca="false">IFERROR(Q11/G11,"")</f>
        <v>-1</v>
      </c>
      <c r="S11" s="14" t="n">
        <v>15</v>
      </c>
      <c r="T11" s="17" t="n">
        <f aca="false">SUMIFS('FotMob Seasons'!$F$8:$F$136,'FotMob Seasons'!$A$8:$A$136,A11,'FotMob Seasons'!$H$8:$H$136,"Yes")</f>
        <v>5223</v>
      </c>
      <c r="U11" s="17" t="n">
        <f aca="false">COUNTIFS('FotMob Seasons'!$A$8:$A$136,A11,'FotMob Seasons'!$H$8:$H$136,"Yes")</f>
        <v>4</v>
      </c>
      <c r="V11" s="18" t="n">
        <f aca="false">IFERROR(T11/U11,"")</f>
        <v>1305.75</v>
      </c>
      <c r="W11" s="18" t="n">
        <f aca="false">IFERROR(V11/G11,"")</f>
        <v>46.3031914893617</v>
      </c>
      <c r="X11" s="19" t="n">
        <v>6.74</v>
      </c>
      <c r="Y11" s="19" t="n">
        <v>6.68</v>
      </c>
      <c r="Z11" s="19" t="n">
        <v>6.16</v>
      </c>
      <c r="AA11" s="19" t="n">
        <v>6.28</v>
      </c>
      <c r="AB11" s="19"/>
      <c r="AC11" s="19"/>
      <c r="AD11" s="19"/>
      <c r="AE11" s="19"/>
      <c r="AF11" s="20" t="n">
        <f aca="false">IFERROR(AVERAGEIFS('FotMob Seasons'!$G$8:$G$136,'FotMob Seasons'!$A$8:$A$136,A11,'FotMob Seasons'!$H$8:$H$136,"Yes"),"")</f>
        <v>6.465</v>
      </c>
      <c r="AG11" s="10" t="s">
        <v>59</v>
      </c>
      <c r="AH11" s="21" t="s">
        <v>60</v>
      </c>
      <c r="AI11" s="21" t="s">
        <v>61</v>
      </c>
      <c r="AJ11" s="21" t="s">
        <v>62</v>
      </c>
    </row>
    <row r="12" customFormat="false" ht="24" hidden="false" customHeight="true" outlineLevel="0" collapsed="false">
      <c r="A12" s="10" t="s">
        <v>63</v>
      </c>
      <c r="B12" s="10" t="s">
        <v>64</v>
      </c>
      <c r="C12" s="11" t="n">
        <v>22</v>
      </c>
      <c r="D12" s="10" t="s">
        <v>53</v>
      </c>
      <c r="E12" s="10"/>
      <c r="F12" s="10" t="s">
        <v>54</v>
      </c>
      <c r="G12" s="12" t="n">
        <v>16</v>
      </c>
      <c r="H12" s="10" t="s">
        <v>65</v>
      </c>
      <c r="I12" s="10" t="s">
        <v>66</v>
      </c>
      <c r="J12" s="10" t="s">
        <v>67</v>
      </c>
      <c r="K12" s="13" t="s">
        <v>68</v>
      </c>
      <c r="L12" s="14"/>
      <c r="M12" s="14" t="n">
        <v>20</v>
      </c>
      <c r="N12" s="15" t="str">
        <f aca="false">IF(A12="","",IF(LEFT(K12,15)="Still at Palace","Current market value","Sale fee"))</f>
        <v>Sale fee</v>
      </c>
      <c r="O12" s="15" t="n">
        <f aca="false">IF(K12="Sold",M12,IF(OR(K12="Still at Palace",K12="Still at Palace (on loan)"),L12,0))</f>
        <v>20</v>
      </c>
      <c r="P12" s="15" t="str">
        <f aca="false">IF(Q12&gt;0,"Gain",IF(Q12&lt;0,"Loss","Neutral"))</f>
        <v>Gain</v>
      </c>
      <c r="Q12" s="15" t="n">
        <f aca="false">O12-G12</f>
        <v>4</v>
      </c>
      <c r="R12" s="16" t="n">
        <f aca="false">IFERROR(Q12/G12,"")</f>
        <v>0.25</v>
      </c>
      <c r="S12" s="14" t="n">
        <v>2</v>
      </c>
      <c r="T12" s="17" t="n">
        <f aca="false">SUMIFS('FotMob Seasons'!$F$8:$F$136,'FotMob Seasons'!$A$8:$A$136,A12,'FotMob Seasons'!$H$8:$H$136,"Yes")</f>
        <v>533</v>
      </c>
      <c r="U12" s="17" t="n">
        <f aca="false">COUNTIFS('FotMob Seasons'!$A$8:$A$136,A12,'FotMob Seasons'!$H$8:$H$136,"Yes")</f>
        <v>2</v>
      </c>
      <c r="V12" s="18" t="n">
        <f aca="false">IFERROR(T12/U12,"")</f>
        <v>266.5</v>
      </c>
      <c r="W12" s="18" t="n">
        <f aca="false">IFERROR(V12/G12,"")</f>
        <v>16.65625</v>
      </c>
      <c r="X12" s="19" t="n">
        <v>6.69</v>
      </c>
      <c r="Y12" s="19" t="n">
        <v>6.08</v>
      </c>
      <c r="Z12" s="19"/>
      <c r="AA12" s="19"/>
      <c r="AB12" s="19"/>
      <c r="AC12" s="19"/>
      <c r="AD12" s="19"/>
      <c r="AE12" s="19"/>
      <c r="AF12" s="20" t="n">
        <f aca="false">IFERROR(AVERAGEIFS('FotMob Seasons'!$G$8:$G$136,'FotMob Seasons'!$A$8:$A$136,A12,'FotMob Seasons'!$H$8:$H$136,"Yes"),"")</f>
        <v>6.385</v>
      </c>
      <c r="AG12" s="10" t="s">
        <v>59</v>
      </c>
      <c r="AH12" s="21" t="s">
        <v>60</v>
      </c>
      <c r="AI12" s="21" t="s">
        <v>61</v>
      </c>
      <c r="AJ12" s="21" t="s">
        <v>62</v>
      </c>
    </row>
    <row r="13" customFormat="false" ht="24" hidden="false" customHeight="true" outlineLevel="0" collapsed="false">
      <c r="A13" s="10" t="s">
        <v>69</v>
      </c>
      <c r="B13" s="10" t="s">
        <v>70</v>
      </c>
      <c r="C13" s="11" t="n">
        <v>20</v>
      </c>
      <c r="D13" s="10" t="s">
        <v>53</v>
      </c>
      <c r="E13" s="10"/>
      <c r="F13" s="10" t="s">
        <v>54</v>
      </c>
      <c r="G13" s="12" t="n">
        <v>9</v>
      </c>
      <c r="H13" s="10" t="s">
        <v>71</v>
      </c>
      <c r="I13" s="10" t="s">
        <v>72</v>
      </c>
      <c r="J13" s="10" t="s">
        <v>73</v>
      </c>
      <c r="K13" s="13" t="s">
        <v>58</v>
      </c>
      <c r="L13" s="14"/>
      <c r="M13" s="14" t="n">
        <v>0</v>
      </c>
      <c r="N13" s="15" t="str">
        <f aca="false">IF(A13="","",IF(LEFT(K13,15)="Still at Palace","Current market value","Sale fee"))</f>
        <v>Sale fee</v>
      </c>
      <c r="O13" s="15" t="n">
        <f aca="false">IF(K13="Sold",M13,IF(OR(K13="Still at Palace",K13="Still at Palace (on loan)"),L13,0))</f>
        <v>0</v>
      </c>
      <c r="P13" s="15" t="str">
        <f aca="false">IF(Q13&gt;0,"Gain",IF(Q13&lt;0,"Loss","Neutral"))</f>
        <v>Loss</v>
      </c>
      <c r="Q13" s="15" t="n">
        <f aca="false">O13-G13</f>
        <v>-9</v>
      </c>
      <c r="R13" s="16" t="n">
        <f aca="false">IFERROR(Q13/G13,"")</f>
        <v>-1</v>
      </c>
      <c r="S13" s="14" t="n">
        <v>5</v>
      </c>
      <c r="T13" s="17" t="n">
        <f aca="false">SUMIFS('FotMob Seasons'!$F$8:$F$136,'FotMob Seasons'!$A$8:$A$136,A13,'FotMob Seasons'!$H$8:$H$136,"Yes")</f>
        <v>3421</v>
      </c>
      <c r="U13" s="17" t="n">
        <f aca="false">COUNTIFS('FotMob Seasons'!$A$8:$A$136,A13,'FotMob Seasons'!$H$8:$H$136,"Yes")</f>
        <v>7</v>
      </c>
      <c r="V13" s="18" t="n">
        <f aca="false">IFERROR(T13/U13,"")</f>
        <v>488.714285714286</v>
      </c>
      <c r="W13" s="18" t="n">
        <f aca="false">IFERROR(V13/G13,"")</f>
        <v>54.3015873015873</v>
      </c>
      <c r="X13" s="19" t="n">
        <v>6.31</v>
      </c>
      <c r="Y13" s="19" t="n">
        <v>6.33</v>
      </c>
      <c r="Z13" s="19" t="n">
        <v>6.52</v>
      </c>
      <c r="AA13" s="19" t="n">
        <v>6.27</v>
      </c>
      <c r="AB13" s="19" t="n">
        <v>6.6</v>
      </c>
      <c r="AC13" s="19" t="n">
        <v>6.41</v>
      </c>
      <c r="AD13" s="19"/>
      <c r="AE13" s="19"/>
      <c r="AF13" s="20" t="n">
        <f aca="false">IFERROR(AVERAGEIFS('FotMob Seasons'!$G$8:$G$136,'FotMob Seasons'!$A$8:$A$136,A13,'FotMob Seasons'!$H$8:$H$136,"Yes"),"")</f>
        <v>6.40666666666667</v>
      </c>
      <c r="AG13" s="10" t="s">
        <v>74</v>
      </c>
      <c r="AH13" s="21" t="s">
        <v>60</v>
      </c>
      <c r="AI13" s="21" t="s">
        <v>61</v>
      </c>
      <c r="AJ13" s="21" t="s">
        <v>62</v>
      </c>
    </row>
    <row r="14" customFormat="false" ht="24" hidden="false" customHeight="true" outlineLevel="0" collapsed="false">
      <c r="A14" s="10" t="s">
        <v>75</v>
      </c>
      <c r="B14" s="10" t="s">
        <v>52</v>
      </c>
      <c r="C14" s="11" t="n">
        <v>23</v>
      </c>
      <c r="D14" s="10" t="s">
        <v>53</v>
      </c>
      <c r="E14" s="10"/>
      <c r="F14" s="10" t="s">
        <v>54</v>
      </c>
      <c r="G14" s="12" t="n">
        <v>2.75</v>
      </c>
      <c r="H14" s="10" t="s">
        <v>76</v>
      </c>
      <c r="I14" s="10" t="s">
        <v>77</v>
      </c>
      <c r="J14" s="10" t="s">
        <v>78</v>
      </c>
      <c r="K14" s="13" t="s">
        <v>58</v>
      </c>
      <c r="L14" s="14"/>
      <c r="M14" s="14" t="n">
        <v>0</v>
      </c>
      <c r="N14" s="15" t="str">
        <f aca="false">IF(A14="","",IF(LEFT(K14,15)="Still at Palace","Current market value","Sale fee"))</f>
        <v>Sale fee</v>
      </c>
      <c r="O14" s="15" t="n">
        <f aca="false">IF(K14="Sold",M14,IF(OR(K14="Still at Palace",K14="Still at Palace (on loan)"),L14,0))</f>
        <v>0</v>
      </c>
      <c r="P14" s="15" t="str">
        <f aca="false">IF(Q14&gt;0,"Gain",IF(Q14&lt;0,"Loss","Neutral"))</f>
        <v>Loss</v>
      </c>
      <c r="Q14" s="15" t="n">
        <f aca="false">O14-G14</f>
        <v>-2.75</v>
      </c>
      <c r="R14" s="16" t="n">
        <f aca="false">IFERROR(Q14/G14,"")</f>
        <v>-1</v>
      </c>
      <c r="S14" s="14" t="n">
        <v>2</v>
      </c>
      <c r="T14" s="17" t="n">
        <f aca="false">SUMIFS('FotMob Seasons'!$F$8:$F$136,'FotMob Seasons'!$A$8:$A$136,A14,'FotMob Seasons'!$H$8:$H$136,"Yes")</f>
        <v>0</v>
      </c>
      <c r="U14" s="17" t="n">
        <f aca="false">COUNTIFS('FotMob Seasons'!$A$8:$A$136,A14,'FotMob Seasons'!$H$8:$H$136,"Yes")</f>
        <v>1</v>
      </c>
      <c r="V14" s="18" t="n">
        <f aca="false">IFERROR(T14/U14,"")</f>
        <v>0</v>
      </c>
      <c r="W14" s="18" t="n">
        <f aca="false">IFERROR(V14/G14,"")</f>
        <v>0</v>
      </c>
      <c r="X14" s="19"/>
      <c r="Y14" s="19"/>
      <c r="Z14" s="19"/>
      <c r="AA14" s="19"/>
      <c r="AB14" s="19"/>
      <c r="AC14" s="19"/>
      <c r="AD14" s="19"/>
      <c r="AE14" s="19"/>
      <c r="AF14" s="20" t="str">
        <f aca="false">IFERROR(AVERAGEIFS('FotMob Seasons'!$G$8:$G$136,'FotMob Seasons'!$A$8:$A$136,A14,'FotMob Seasons'!$H$8:$H$136,"Yes"),"")</f>
        <v/>
      </c>
      <c r="AG14" s="10" t="s">
        <v>59</v>
      </c>
      <c r="AH14" s="21" t="s">
        <v>60</v>
      </c>
      <c r="AI14" s="21" t="s">
        <v>79</v>
      </c>
      <c r="AJ14" s="21" t="s">
        <v>62</v>
      </c>
    </row>
    <row r="15" customFormat="false" ht="24" hidden="false" customHeight="true" outlineLevel="0" collapsed="false">
      <c r="A15" s="10" t="s">
        <v>80</v>
      </c>
      <c r="B15" s="10" t="s">
        <v>81</v>
      </c>
      <c r="C15" s="11" t="n">
        <v>35</v>
      </c>
      <c r="D15" s="10" t="s">
        <v>53</v>
      </c>
      <c r="E15" s="10"/>
      <c r="F15" s="10" t="s">
        <v>82</v>
      </c>
      <c r="G15" s="12" t="n">
        <v>0</v>
      </c>
      <c r="H15" s="10" t="s">
        <v>83</v>
      </c>
      <c r="I15" s="10" t="s">
        <v>83</v>
      </c>
      <c r="J15" s="10" t="s">
        <v>84</v>
      </c>
      <c r="K15" s="13" t="s">
        <v>58</v>
      </c>
      <c r="L15" s="14"/>
      <c r="M15" s="14" t="n">
        <v>0</v>
      </c>
      <c r="N15" s="15" t="str">
        <f aca="false">IF(A15="","",IF(LEFT(K15,15)="Still at Palace","Current market value","Sale fee"))</f>
        <v>Sale fee</v>
      </c>
      <c r="O15" s="15" t="n">
        <f aca="false">IF(K15="Sold",M15,IF(OR(K15="Still at Palace",K15="Still at Palace (on loan)"),L15,0))</f>
        <v>0</v>
      </c>
      <c r="P15" s="15" t="str">
        <f aca="false">IF(Q15&gt;0,"Gain",IF(Q15&lt;0,"Loss","Neutral"))</f>
        <v>Neutral</v>
      </c>
      <c r="Q15" s="15" t="n">
        <f aca="false">O15-G15</f>
        <v>0</v>
      </c>
      <c r="R15" s="16" t="str">
        <f aca="false">IFERROR(Q15/G15,"")</f>
        <v/>
      </c>
      <c r="S15" s="14" t="n">
        <v>1.75</v>
      </c>
      <c r="T15" s="17" t="n">
        <f aca="false">SUMIFS('FotMob Seasons'!$F$8:$F$136,'FotMob Seasons'!$A$8:$A$136,A15,'FotMob Seasons'!$H$8:$H$136,"Yes")</f>
        <v>0</v>
      </c>
      <c r="U15" s="17" t="n">
        <f aca="false">COUNTIFS('FotMob Seasons'!$A$8:$A$136,A15,'FotMob Seasons'!$H$8:$H$136,"Yes")</f>
        <v>1</v>
      </c>
      <c r="V15" s="18" t="n">
        <f aca="false">IFERROR(T15/U15,"")</f>
        <v>0</v>
      </c>
      <c r="W15" s="18" t="str">
        <f aca="false">IFERROR(V15/G15,"")</f>
        <v/>
      </c>
      <c r="X15" s="19"/>
      <c r="Y15" s="19"/>
      <c r="Z15" s="19"/>
      <c r="AA15" s="19"/>
      <c r="AB15" s="19"/>
      <c r="AC15" s="19"/>
      <c r="AD15" s="19"/>
      <c r="AE15" s="19"/>
      <c r="AF15" s="20" t="str">
        <f aca="false">IFERROR(AVERAGEIFS('FotMob Seasons'!$G$8:$G$136,'FotMob Seasons'!$A$8:$A$136,A15,'FotMob Seasons'!$H$8:$H$136,"Yes"),"")</f>
        <v/>
      </c>
      <c r="AG15" s="10" t="s">
        <v>59</v>
      </c>
      <c r="AH15" s="21" t="s">
        <v>85</v>
      </c>
      <c r="AI15" s="21" t="s">
        <v>79</v>
      </c>
      <c r="AJ15" s="21" t="s">
        <v>62</v>
      </c>
    </row>
    <row r="16" customFormat="false" ht="24" hidden="false" customHeight="true" outlineLevel="0" collapsed="false">
      <c r="A16" s="10" t="s">
        <v>86</v>
      </c>
      <c r="B16" s="10" t="s">
        <v>70</v>
      </c>
      <c r="C16" s="11" t="n">
        <v>28</v>
      </c>
      <c r="D16" s="10" t="s">
        <v>87</v>
      </c>
      <c r="E16" s="10"/>
      <c r="F16" s="10" t="s">
        <v>54</v>
      </c>
      <c r="G16" s="12" t="n">
        <v>10.7</v>
      </c>
      <c r="H16" s="10" t="s">
        <v>88</v>
      </c>
      <c r="I16" s="10" t="s">
        <v>56</v>
      </c>
      <c r="J16" s="10" t="s">
        <v>89</v>
      </c>
      <c r="K16" s="13" t="s">
        <v>58</v>
      </c>
      <c r="L16" s="14"/>
      <c r="M16" s="14" t="n">
        <v>0</v>
      </c>
      <c r="N16" s="15" t="str">
        <f aca="false">IF(A16="","",IF(LEFT(K16,15)="Still at Palace","Current market value","Sale fee"))</f>
        <v>Sale fee</v>
      </c>
      <c r="O16" s="15" t="n">
        <f aca="false">IF(K16="Sold",M16,IF(OR(K16="Still at Palace",K16="Still at Palace (on loan)"),L16,0))</f>
        <v>0</v>
      </c>
      <c r="P16" s="15" t="str">
        <f aca="false">IF(Q16&gt;0,"Gain",IF(Q16&lt;0,"Loss","Neutral"))</f>
        <v>Loss</v>
      </c>
      <c r="Q16" s="15" t="n">
        <f aca="false">O16-G16</f>
        <v>-10.7</v>
      </c>
      <c r="R16" s="16" t="n">
        <f aca="false">IFERROR(Q16/G16,"")</f>
        <v>-1</v>
      </c>
      <c r="S16" s="14" t="n">
        <v>12</v>
      </c>
      <c r="T16" s="17" t="n">
        <f aca="false">SUMIFS('FotMob Seasons'!$F$8:$F$136,'FotMob Seasons'!$A$8:$A$136,A16,'FotMob Seasons'!$H$8:$H$136,"Yes")</f>
        <v>9533</v>
      </c>
      <c r="U16" s="17" t="n">
        <f aca="false">COUNTIFS('FotMob Seasons'!$A$8:$A$136,A16,'FotMob Seasons'!$H$8:$H$136,"Yes")</f>
        <v>4</v>
      </c>
      <c r="V16" s="18" t="n">
        <f aca="false">IFERROR(T16/U16,"")</f>
        <v>2383.25</v>
      </c>
      <c r="W16" s="18" t="n">
        <f aca="false">IFERROR(V16/G16,"")</f>
        <v>222.733644859813</v>
      </c>
      <c r="X16" s="19" t="n">
        <v>6.46</v>
      </c>
      <c r="Y16" s="19" t="n">
        <v>6.58</v>
      </c>
      <c r="Z16" s="19" t="n">
        <v>6.52</v>
      </c>
      <c r="AA16" s="19" t="n">
        <v>6.99</v>
      </c>
      <c r="AB16" s="19"/>
      <c r="AC16" s="19"/>
      <c r="AD16" s="19"/>
      <c r="AE16" s="19"/>
      <c r="AF16" s="20" t="n">
        <f aca="false">IFERROR(AVERAGEIFS('FotMob Seasons'!$G$8:$G$136,'FotMob Seasons'!$A$8:$A$136,A16,'FotMob Seasons'!$H$8:$H$136,"Yes"),"")</f>
        <v>6.6375</v>
      </c>
      <c r="AG16" s="10" t="s">
        <v>59</v>
      </c>
      <c r="AH16" s="21" t="s">
        <v>60</v>
      </c>
      <c r="AI16" s="21" t="s">
        <v>61</v>
      </c>
      <c r="AJ16" s="21" t="s">
        <v>62</v>
      </c>
    </row>
    <row r="17" customFormat="false" ht="24" hidden="false" customHeight="true" outlineLevel="0" collapsed="false">
      <c r="A17" s="10" t="s">
        <v>90</v>
      </c>
      <c r="B17" s="10" t="s">
        <v>70</v>
      </c>
      <c r="C17" s="11" t="n">
        <v>22</v>
      </c>
      <c r="D17" s="10" t="s">
        <v>87</v>
      </c>
      <c r="E17" s="10"/>
      <c r="F17" s="10" t="s">
        <v>82</v>
      </c>
      <c r="G17" s="12" t="n">
        <v>0</v>
      </c>
      <c r="H17" s="10" t="s">
        <v>91</v>
      </c>
      <c r="I17" s="10" t="s">
        <v>92</v>
      </c>
      <c r="J17" s="10" t="s">
        <v>93</v>
      </c>
      <c r="K17" s="13" t="s">
        <v>58</v>
      </c>
      <c r="L17" s="14"/>
      <c r="M17" s="14" t="n">
        <v>0</v>
      </c>
      <c r="N17" s="15" t="str">
        <f aca="false">IF(A17="","",IF(LEFT(K17,15)="Still at Palace","Current market value","Sale fee"))</f>
        <v>Sale fee</v>
      </c>
      <c r="O17" s="15" t="n">
        <f aca="false">IF(K17="Sold",M17,IF(OR(K17="Still at Palace",K17="Still at Palace (on loan)"),L17,0))</f>
        <v>0</v>
      </c>
      <c r="P17" s="15" t="str">
        <f aca="false">IF(Q17&gt;0,"Gain",IF(Q17&lt;0,"Loss","Neutral"))</f>
        <v>Neutral</v>
      </c>
      <c r="Q17" s="15" t="n">
        <f aca="false">O17-G17</f>
        <v>0</v>
      </c>
      <c r="R17" s="16" t="str">
        <f aca="false">IFERROR(Q17/G17,"")</f>
        <v/>
      </c>
      <c r="S17" s="14" t="n">
        <v>18</v>
      </c>
      <c r="T17" s="17" t="n">
        <f aca="false">SUMIFS('FotMob Seasons'!$F$8:$F$136,'FotMob Seasons'!$A$8:$A$136,A17,'FotMob Seasons'!$H$8:$H$136,"Yes")</f>
        <v>2060</v>
      </c>
      <c r="U17" s="17" t="n">
        <f aca="false">COUNTIFS('FotMob Seasons'!$A$8:$A$136,A17,'FotMob Seasons'!$H$8:$H$136,"Yes")</f>
        <v>3</v>
      </c>
      <c r="V17" s="18" t="n">
        <f aca="false">IFERROR(T17/U17,"")</f>
        <v>686.666666666667</v>
      </c>
      <c r="W17" s="18" t="str">
        <f aca="false">IFERROR(V17/G17,"")</f>
        <v/>
      </c>
      <c r="X17" s="19" t="n">
        <v>6.47</v>
      </c>
      <c r="Y17" s="19" t="n">
        <v>6.02</v>
      </c>
      <c r="Z17" s="19"/>
      <c r="AA17" s="19"/>
      <c r="AB17" s="19"/>
      <c r="AC17" s="19"/>
      <c r="AD17" s="19"/>
      <c r="AE17" s="19"/>
      <c r="AF17" s="20" t="n">
        <f aca="false">IFERROR(AVERAGEIFS('FotMob Seasons'!$G$8:$G$136,'FotMob Seasons'!$A$8:$A$136,A17,'FotMob Seasons'!$H$8:$H$136,"Yes"),"")</f>
        <v>6.245</v>
      </c>
      <c r="AG17" s="10" t="s">
        <v>59</v>
      </c>
      <c r="AH17" s="21" t="s">
        <v>60</v>
      </c>
      <c r="AI17" s="21" t="s">
        <v>61</v>
      </c>
      <c r="AJ17" s="21" t="s">
        <v>62</v>
      </c>
    </row>
    <row r="18" customFormat="false" ht="24" hidden="false" customHeight="true" outlineLevel="0" collapsed="false">
      <c r="A18" s="10" t="s">
        <v>94</v>
      </c>
      <c r="B18" s="10" t="s">
        <v>64</v>
      </c>
      <c r="C18" s="11" t="n">
        <v>30</v>
      </c>
      <c r="D18" s="10" t="s">
        <v>87</v>
      </c>
      <c r="E18" s="10"/>
      <c r="F18" s="10" t="s">
        <v>82</v>
      </c>
      <c r="G18" s="12" t="n">
        <v>0</v>
      </c>
      <c r="H18" s="10" t="s">
        <v>95</v>
      </c>
      <c r="I18" s="10" t="s">
        <v>96</v>
      </c>
      <c r="J18" s="10" t="s">
        <v>97</v>
      </c>
      <c r="K18" s="13" t="s">
        <v>58</v>
      </c>
      <c r="L18" s="14"/>
      <c r="M18" s="14" t="n">
        <v>0</v>
      </c>
      <c r="N18" s="15" t="str">
        <f aca="false">IF(A18="","",IF(LEFT(K18,15)="Still at Palace","Current market value","Sale fee"))</f>
        <v>Sale fee</v>
      </c>
      <c r="O18" s="15" t="n">
        <f aca="false">IF(K18="Sold",M18,IF(OR(K18="Still at Palace",K18="Still at Palace (on loan)"),L18,0))</f>
        <v>0</v>
      </c>
      <c r="P18" s="15" t="str">
        <f aca="false">IF(Q18&gt;0,"Gain",IF(Q18&lt;0,"Loss","Neutral"))</f>
        <v>Neutral</v>
      </c>
      <c r="Q18" s="15" t="n">
        <f aca="false">O18-G18</f>
        <v>0</v>
      </c>
      <c r="R18" s="16" t="str">
        <f aca="false">IFERROR(Q18/G18,"")</f>
        <v/>
      </c>
      <c r="S18" s="14" t="n">
        <v>5</v>
      </c>
      <c r="T18" s="17" t="n">
        <f aca="false">SUMIFS('FotMob Seasons'!$F$8:$F$136,'FotMob Seasons'!$A$8:$A$136,A18,'FotMob Seasons'!$H$8:$H$136,"Yes")</f>
        <v>26</v>
      </c>
      <c r="U18" s="17" t="n">
        <f aca="false">COUNTIFS('FotMob Seasons'!$A$8:$A$136,A18,'FotMob Seasons'!$H$8:$H$136,"Yes")</f>
        <v>1</v>
      </c>
      <c r="V18" s="18" t="n">
        <f aca="false">IFERROR(T18/U18,"")</f>
        <v>26</v>
      </c>
      <c r="W18" s="18" t="str">
        <f aca="false">IFERROR(V18/G18,"")</f>
        <v/>
      </c>
      <c r="X18" s="19" t="n">
        <v>5.87</v>
      </c>
      <c r="Y18" s="19"/>
      <c r="Z18" s="19"/>
      <c r="AA18" s="19"/>
      <c r="AB18" s="19"/>
      <c r="AC18" s="19"/>
      <c r="AD18" s="19"/>
      <c r="AE18" s="19"/>
      <c r="AF18" s="20" t="n">
        <f aca="false">IFERROR(AVERAGEIFS('FotMob Seasons'!$G$8:$G$136,'FotMob Seasons'!$A$8:$A$136,A18,'FotMob Seasons'!$H$8:$H$136,"Yes"),"")</f>
        <v>5.87</v>
      </c>
      <c r="AG18" s="10" t="s">
        <v>59</v>
      </c>
      <c r="AH18" s="21" t="s">
        <v>60</v>
      </c>
      <c r="AI18" s="21" t="s">
        <v>61</v>
      </c>
      <c r="AJ18" s="21" t="s">
        <v>62</v>
      </c>
    </row>
    <row r="19" customFormat="false" ht="24" hidden="false" customHeight="true" outlineLevel="0" collapsed="false">
      <c r="A19" s="10" t="s">
        <v>98</v>
      </c>
      <c r="B19" s="10" t="s">
        <v>81</v>
      </c>
      <c r="C19" s="11" t="n">
        <v>31</v>
      </c>
      <c r="D19" s="10" t="s">
        <v>87</v>
      </c>
      <c r="E19" s="10"/>
      <c r="F19" s="10" t="s">
        <v>82</v>
      </c>
      <c r="G19" s="12" t="n">
        <v>0</v>
      </c>
      <c r="H19" s="10" t="s">
        <v>99</v>
      </c>
      <c r="I19" s="10" t="s">
        <v>100</v>
      </c>
      <c r="J19" s="10" t="s">
        <v>101</v>
      </c>
      <c r="K19" s="13" t="s">
        <v>58</v>
      </c>
      <c r="L19" s="14"/>
      <c r="M19" s="14" t="n">
        <v>0</v>
      </c>
      <c r="N19" s="15" t="str">
        <f aca="false">IF(A19="","",IF(LEFT(K19,15)="Still at Palace","Current market value","Sale fee"))</f>
        <v>Sale fee</v>
      </c>
      <c r="O19" s="15" t="n">
        <f aca="false">IF(K19="Sold",M19,IF(OR(K19="Still at Palace",K19="Still at Palace (on loan)"),L19,0))</f>
        <v>0</v>
      </c>
      <c r="P19" s="15" t="str">
        <f aca="false">IF(Q19&gt;0,"Gain",IF(Q19&lt;0,"Loss","Neutral"))</f>
        <v>Neutral</v>
      </c>
      <c r="Q19" s="15" t="n">
        <f aca="false">O19-G19</f>
        <v>0</v>
      </c>
      <c r="R19" s="16" t="str">
        <f aca="false">IFERROR(Q19/G19,"")</f>
        <v/>
      </c>
      <c r="S19" s="14" t="n">
        <v>5</v>
      </c>
      <c r="T19" s="17" t="n">
        <f aca="false">SUMIFS('FotMob Seasons'!$F$8:$F$136,'FotMob Seasons'!$A$8:$A$136,A19,'FotMob Seasons'!$H$8:$H$136,"Yes")</f>
        <v>149</v>
      </c>
      <c r="U19" s="17" t="n">
        <f aca="false">COUNTIFS('FotMob Seasons'!$A$8:$A$136,A19,'FotMob Seasons'!$H$8:$H$136,"Yes")</f>
        <v>5</v>
      </c>
      <c r="V19" s="18" t="n">
        <f aca="false">IFERROR(T19/U19,"")</f>
        <v>29.8</v>
      </c>
      <c r="W19" s="18" t="str">
        <f aca="false">IFERROR(V19/G19,"")</f>
        <v/>
      </c>
      <c r="X19" s="19" t="n">
        <v>6.44</v>
      </c>
      <c r="Y19" s="19" t="n">
        <v>6.46</v>
      </c>
      <c r="Z19" s="19" t="n">
        <v>6.13</v>
      </c>
      <c r="AA19" s="19" t="n">
        <v>6.65</v>
      </c>
      <c r="AB19" s="19" t="n">
        <v>6.66</v>
      </c>
      <c r="AC19" s="19"/>
      <c r="AD19" s="19"/>
      <c r="AE19" s="19"/>
      <c r="AF19" s="20" t="n">
        <f aca="false">IFERROR(AVERAGEIFS('FotMob Seasons'!$G$8:$G$136,'FotMob Seasons'!$A$8:$A$136,A19,'FotMob Seasons'!$H$8:$H$136,"Yes"),"")</f>
        <v>6.468</v>
      </c>
      <c r="AG19" s="10" t="s">
        <v>59</v>
      </c>
      <c r="AH19" s="21" t="s">
        <v>85</v>
      </c>
      <c r="AI19" s="21" t="s">
        <v>61</v>
      </c>
      <c r="AJ19" s="21" t="s">
        <v>62</v>
      </c>
    </row>
    <row r="20" customFormat="false" ht="24" hidden="false" customHeight="true" outlineLevel="0" collapsed="false">
      <c r="A20" s="10" t="s">
        <v>102</v>
      </c>
      <c r="B20" s="10" t="s">
        <v>70</v>
      </c>
      <c r="C20" s="11" t="n">
        <v>28</v>
      </c>
      <c r="D20" s="10" t="s">
        <v>103</v>
      </c>
      <c r="E20" s="10"/>
      <c r="F20" s="10" t="s">
        <v>54</v>
      </c>
      <c r="G20" s="12" t="n">
        <v>3.3</v>
      </c>
      <c r="H20" s="10" t="s">
        <v>104</v>
      </c>
      <c r="I20" s="10" t="s">
        <v>56</v>
      </c>
      <c r="J20" s="10" t="s">
        <v>105</v>
      </c>
      <c r="K20" s="13" t="s">
        <v>58</v>
      </c>
      <c r="L20" s="14"/>
      <c r="M20" s="14" t="n">
        <v>0</v>
      </c>
      <c r="N20" s="15" t="str">
        <f aca="false">IF(A20="","",IF(LEFT(K20,15)="Still at Palace","Current market value","Sale fee"))</f>
        <v>Sale fee</v>
      </c>
      <c r="O20" s="15" t="n">
        <f aca="false">IF(K20="Sold",M20,IF(OR(K20="Still at Palace",K20="Still at Palace (on loan)"),L20,0))</f>
        <v>0</v>
      </c>
      <c r="P20" s="15" t="str">
        <f aca="false">IF(Q20&gt;0,"Gain",IF(Q20&lt;0,"Loss","Neutral"))</f>
        <v>Loss</v>
      </c>
      <c r="Q20" s="15" t="n">
        <f aca="false">O20-G20</f>
        <v>-3.3</v>
      </c>
      <c r="R20" s="16" t="n">
        <f aca="false">IFERROR(Q20/G20,"")</f>
        <v>-1</v>
      </c>
      <c r="S20" s="14" t="n">
        <v>5</v>
      </c>
      <c r="T20" s="17" t="n">
        <f aca="false">SUMIFS('FotMob Seasons'!$F$8:$F$136,'FotMob Seasons'!$A$8:$A$136,A20,'FotMob Seasons'!$H$8:$H$136,"Yes")</f>
        <v>2495</v>
      </c>
      <c r="U20" s="17" t="n">
        <f aca="false">COUNTIFS('FotMob Seasons'!$A$8:$A$136,A20,'FotMob Seasons'!$H$8:$H$136,"Yes")</f>
        <v>2</v>
      </c>
      <c r="V20" s="18" t="n">
        <f aca="false">IFERROR(T20/U20,"")</f>
        <v>1247.5</v>
      </c>
      <c r="W20" s="18" t="n">
        <f aca="false">IFERROR(V20/G20,"")</f>
        <v>378.030303030303</v>
      </c>
      <c r="X20" s="19" t="n">
        <v>6.42</v>
      </c>
      <c r="Y20" s="19" t="n">
        <v>6.48</v>
      </c>
      <c r="Z20" s="19"/>
      <c r="AA20" s="19"/>
      <c r="AB20" s="19"/>
      <c r="AC20" s="19"/>
      <c r="AD20" s="19"/>
      <c r="AE20" s="19"/>
      <c r="AF20" s="20" t="n">
        <f aca="false">IFERROR(AVERAGEIFS('FotMob Seasons'!$G$8:$G$136,'FotMob Seasons'!$A$8:$A$136,A20,'FotMob Seasons'!$H$8:$H$136,"Yes"),"")</f>
        <v>6.45</v>
      </c>
      <c r="AG20" s="10" t="s">
        <v>59</v>
      </c>
      <c r="AH20" s="21" t="s">
        <v>60</v>
      </c>
      <c r="AI20" s="21" t="s">
        <v>61</v>
      </c>
      <c r="AJ20" s="21" t="s">
        <v>62</v>
      </c>
    </row>
    <row r="21" customFormat="false" ht="24" hidden="false" customHeight="true" outlineLevel="0" collapsed="false">
      <c r="A21" s="10" t="s">
        <v>106</v>
      </c>
      <c r="B21" s="10" t="s">
        <v>64</v>
      </c>
      <c r="C21" s="11" t="n">
        <v>27</v>
      </c>
      <c r="D21" s="10" t="s">
        <v>103</v>
      </c>
      <c r="E21" s="10"/>
      <c r="F21" s="10" t="s">
        <v>54</v>
      </c>
      <c r="G21" s="12" t="n">
        <v>2.8</v>
      </c>
      <c r="H21" s="10" t="s">
        <v>107</v>
      </c>
      <c r="I21" s="10" t="s">
        <v>96</v>
      </c>
      <c r="J21" s="10" t="s">
        <v>108</v>
      </c>
      <c r="K21" s="13" t="s">
        <v>68</v>
      </c>
      <c r="L21" s="14"/>
      <c r="M21" s="14" t="n">
        <v>5.9</v>
      </c>
      <c r="N21" s="15" t="str">
        <f aca="false">IF(A21="","",IF(LEFT(K21,15)="Still at Palace","Current market value","Sale fee"))</f>
        <v>Sale fee</v>
      </c>
      <c r="O21" s="15" t="n">
        <f aca="false">IF(K21="Sold",M21,IF(OR(K21="Still at Palace",K21="Still at Palace (on loan)"),L21,0))</f>
        <v>5.9</v>
      </c>
      <c r="P21" s="15" t="str">
        <f aca="false">IF(Q21&gt;0,"Gain",IF(Q21&lt;0,"Loss","Neutral"))</f>
        <v>Gain</v>
      </c>
      <c r="Q21" s="15" t="n">
        <f aca="false">O21-G21</f>
        <v>3.1</v>
      </c>
      <c r="R21" s="16" t="n">
        <f aca="false">IFERROR(Q21/G21,"")</f>
        <v>1.10714285714286</v>
      </c>
      <c r="S21" s="14" t="n">
        <v>8</v>
      </c>
      <c r="T21" s="17" t="n">
        <f aca="false">SUMIFS('FotMob Seasons'!$F$8:$F$136,'FotMob Seasons'!$A$8:$A$136,A21,'FotMob Seasons'!$H$8:$H$136,"Yes")</f>
        <v>12594</v>
      </c>
      <c r="U21" s="17" t="n">
        <f aca="false">COUNTIFS('FotMob Seasons'!$A$8:$A$136,A21,'FotMob Seasons'!$H$8:$H$136,"Yes")</f>
        <v>5</v>
      </c>
      <c r="V21" s="18" t="n">
        <f aca="false">IFERROR(T21/U21,"")</f>
        <v>2518.8</v>
      </c>
      <c r="W21" s="18" t="n">
        <f aca="false">IFERROR(V21/G21,"")</f>
        <v>899.571428571429</v>
      </c>
      <c r="X21" s="19" t="n">
        <v>6.48</v>
      </c>
      <c r="Y21" s="19" t="n">
        <v>6.38</v>
      </c>
      <c r="Z21" s="19" t="n">
        <v>6.75</v>
      </c>
      <c r="AA21" s="19" t="n">
        <v>6.84</v>
      </c>
      <c r="AB21" s="19" t="n">
        <v>7</v>
      </c>
      <c r="AC21" s="19"/>
      <c r="AD21" s="19"/>
      <c r="AE21" s="19"/>
      <c r="AF21" s="20" t="n">
        <f aca="false">IFERROR(AVERAGEIFS('FotMob Seasons'!$G$8:$G$136,'FotMob Seasons'!$A$8:$A$136,A21,'FotMob Seasons'!$H$8:$H$136,"Yes"),"")</f>
        <v>6.69</v>
      </c>
      <c r="AG21" s="10" t="s">
        <v>74</v>
      </c>
      <c r="AH21" s="21" t="s">
        <v>60</v>
      </c>
      <c r="AI21" s="21" t="s">
        <v>61</v>
      </c>
      <c r="AJ21" s="21" t="s">
        <v>62</v>
      </c>
    </row>
    <row r="22" customFormat="false" ht="24" hidden="false" customHeight="true" outlineLevel="0" collapsed="false">
      <c r="A22" s="10" t="s">
        <v>109</v>
      </c>
      <c r="B22" s="10" t="s">
        <v>52</v>
      </c>
      <c r="C22" s="11" t="n">
        <v>33</v>
      </c>
      <c r="D22" s="10" t="s">
        <v>103</v>
      </c>
      <c r="E22" s="10"/>
      <c r="F22" s="10" t="s">
        <v>82</v>
      </c>
      <c r="G22" s="12" t="n">
        <v>0</v>
      </c>
      <c r="H22" s="10" t="s">
        <v>110</v>
      </c>
      <c r="I22" s="10" t="s">
        <v>56</v>
      </c>
      <c r="J22" s="10" t="s">
        <v>111</v>
      </c>
      <c r="K22" s="13" t="s">
        <v>58</v>
      </c>
      <c r="L22" s="14"/>
      <c r="M22" s="14" t="n">
        <v>0</v>
      </c>
      <c r="N22" s="15" t="str">
        <f aca="false">IF(A22="","",IF(LEFT(K22,15)="Still at Palace","Current market value","Sale fee"))</f>
        <v>Sale fee</v>
      </c>
      <c r="O22" s="15" t="n">
        <f aca="false">IF(K22="Sold",M22,IF(OR(K22="Still at Palace",K22="Still at Palace (on loan)"),L22,0))</f>
        <v>0</v>
      </c>
      <c r="P22" s="15" t="str">
        <f aca="false">IF(Q22&gt;0,"Gain",IF(Q22&lt;0,"Loss","Neutral"))</f>
        <v>Neutral</v>
      </c>
      <c r="Q22" s="15" t="n">
        <f aca="false">O22-G22</f>
        <v>0</v>
      </c>
      <c r="R22" s="16" t="str">
        <f aca="false">IFERROR(Q22/G22,"")</f>
        <v/>
      </c>
      <c r="S22" s="14" t="n">
        <v>8</v>
      </c>
      <c r="T22" s="17" t="n">
        <f aca="false">SUMIFS('FotMob Seasons'!$F$8:$F$136,'FotMob Seasons'!$A$8:$A$136,A22,'FotMob Seasons'!$H$8:$H$136,"Yes")</f>
        <v>3968</v>
      </c>
      <c r="U22" s="17" t="n">
        <f aca="false">COUNTIFS('FotMob Seasons'!$A$8:$A$136,A22,'FotMob Seasons'!$H$8:$H$136,"Yes")</f>
        <v>2</v>
      </c>
      <c r="V22" s="18" t="n">
        <f aca="false">IFERROR(T22/U22,"")</f>
        <v>1984</v>
      </c>
      <c r="W22" s="18" t="str">
        <f aca="false">IFERROR(V22/G22,"")</f>
        <v/>
      </c>
      <c r="X22" s="19" t="n">
        <v>6.54</v>
      </c>
      <c r="Y22" s="19" t="n">
        <v>6.37</v>
      </c>
      <c r="Z22" s="19"/>
      <c r="AA22" s="19"/>
      <c r="AB22" s="19"/>
      <c r="AC22" s="19"/>
      <c r="AD22" s="19"/>
      <c r="AE22" s="19"/>
      <c r="AF22" s="20" t="n">
        <f aca="false">IFERROR(AVERAGEIFS('FotMob Seasons'!$G$8:$G$136,'FotMob Seasons'!$A$8:$A$136,A22,'FotMob Seasons'!$H$8:$H$136,"Yes"),"")</f>
        <v>6.455</v>
      </c>
      <c r="AG22" s="10" t="s">
        <v>59</v>
      </c>
      <c r="AH22" s="21" t="s">
        <v>60</v>
      </c>
      <c r="AI22" s="21" t="s">
        <v>61</v>
      </c>
      <c r="AJ22" s="21" t="s">
        <v>62</v>
      </c>
    </row>
    <row r="23" customFormat="false" ht="24" hidden="false" customHeight="true" outlineLevel="0" collapsed="false">
      <c r="A23" s="10" t="s">
        <v>112</v>
      </c>
      <c r="B23" s="10" t="s">
        <v>81</v>
      </c>
      <c r="C23" s="11" t="n">
        <v>31</v>
      </c>
      <c r="D23" s="10" t="s">
        <v>103</v>
      </c>
      <c r="E23" s="10"/>
      <c r="F23" s="10" t="s">
        <v>82</v>
      </c>
      <c r="G23" s="12" t="n">
        <v>0</v>
      </c>
      <c r="H23" s="10" t="s">
        <v>113</v>
      </c>
      <c r="I23" s="10" t="s">
        <v>96</v>
      </c>
      <c r="J23" s="10" t="s">
        <v>114</v>
      </c>
      <c r="K23" s="13" t="s">
        <v>58</v>
      </c>
      <c r="L23" s="14"/>
      <c r="M23" s="14" t="n">
        <v>0</v>
      </c>
      <c r="N23" s="15" t="str">
        <f aca="false">IF(A23="","",IF(LEFT(K23,15)="Still at Palace","Current market value","Sale fee"))</f>
        <v>Sale fee</v>
      </c>
      <c r="O23" s="15" t="n">
        <f aca="false">IF(K23="Sold",M23,IF(OR(K23="Still at Palace",K23="Still at Palace (on loan)"),L23,0))</f>
        <v>0</v>
      </c>
      <c r="P23" s="15" t="str">
        <f aca="false">IF(Q23&gt;0,"Gain",IF(Q23&lt;0,"Loss","Neutral"))</f>
        <v>Neutral</v>
      </c>
      <c r="Q23" s="15" t="n">
        <f aca="false">O23-G23</f>
        <v>0</v>
      </c>
      <c r="R23" s="16" t="str">
        <f aca="false">IFERROR(Q23/G23,"")</f>
        <v/>
      </c>
      <c r="S23" s="14" t="n">
        <v>0.5</v>
      </c>
      <c r="T23" s="17" t="n">
        <f aca="false">SUMIFS('FotMob Seasons'!$F$8:$F$136,'FotMob Seasons'!$A$8:$A$136,A23,'FotMob Seasons'!$H$8:$H$136,"Yes")</f>
        <v>0</v>
      </c>
      <c r="U23" s="17" t="n">
        <f aca="false">COUNTIFS('FotMob Seasons'!$A$8:$A$136,A23,'FotMob Seasons'!$H$8:$H$136,"Yes")</f>
        <v>1</v>
      </c>
      <c r="V23" s="18" t="n">
        <f aca="false">IFERROR(T23/U23,"")</f>
        <v>0</v>
      </c>
      <c r="W23" s="18" t="str">
        <f aca="false">IFERROR(V23/G23,"")</f>
        <v/>
      </c>
      <c r="X23" s="19"/>
      <c r="Y23" s="19"/>
      <c r="Z23" s="19"/>
      <c r="AA23" s="19"/>
      <c r="AB23" s="19"/>
      <c r="AC23" s="19"/>
      <c r="AD23" s="19"/>
      <c r="AE23" s="19"/>
      <c r="AF23" s="20" t="str">
        <f aca="false">IFERROR(AVERAGEIFS('FotMob Seasons'!$G$8:$G$136,'FotMob Seasons'!$A$8:$A$136,A23,'FotMob Seasons'!$H$8:$H$136,"Yes"),"")</f>
        <v/>
      </c>
      <c r="AG23" s="10" t="s">
        <v>59</v>
      </c>
      <c r="AH23" s="21" t="s">
        <v>85</v>
      </c>
      <c r="AI23" s="21" t="s">
        <v>79</v>
      </c>
      <c r="AJ23" s="21" t="s">
        <v>62</v>
      </c>
    </row>
    <row r="24" customFormat="false" ht="24" hidden="false" customHeight="true" outlineLevel="0" collapsed="false">
      <c r="A24" s="10" t="s">
        <v>115</v>
      </c>
      <c r="B24" s="10" t="s">
        <v>70</v>
      </c>
      <c r="C24" s="11" t="n">
        <v>22</v>
      </c>
      <c r="D24" s="10" t="s">
        <v>116</v>
      </c>
      <c r="E24" s="10"/>
      <c r="F24" s="10" t="s">
        <v>54</v>
      </c>
      <c r="G24" s="12" t="n">
        <v>17.8</v>
      </c>
      <c r="H24" s="10" t="s">
        <v>117</v>
      </c>
      <c r="I24" s="10" t="s">
        <v>96</v>
      </c>
      <c r="J24" s="10" t="s">
        <v>118</v>
      </c>
      <c r="K24" s="13" t="s">
        <v>68</v>
      </c>
      <c r="L24" s="14"/>
      <c r="M24" s="14" t="n">
        <v>69.3</v>
      </c>
      <c r="N24" s="15" t="str">
        <f aca="false">IF(A24="","",IF(LEFT(K24,15)="Still at Palace","Current market value","Sale fee"))</f>
        <v>Sale fee</v>
      </c>
      <c r="O24" s="15" t="n">
        <f aca="false">IF(K24="Sold",M24,IF(OR(K24="Still at Palace",K24="Still at Palace (on loan)"),L24,0))</f>
        <v>69.3</v>
      </c>
      <c r="P24" s="15" t="str">
        <f aca="false">IF(Q24&gt;0,"Gain",IF(Q24&lt;0,"Loss","Neutral"))</f>
        <v>Gain</v>
      </c>
      <c r="Q24" s="15" t="n">
        <f aca="false">O24-G24</f>
        <v>51.5</v>
      </c>
      <c r="R24" s="16" t="n">
        <f aca="false">IFERROR(Q24/G24,"")</f>
        <v>2.89325842696629</v>
      </c>
      <c r="S24" s="14" t="n">
        <v>9</v>
      </c>
      <c r="T24" s="17" t="n">
        <f aca="false">SUMIFS('FotMob Seasons'!$F$8:$F$136,'FotMob Seasons'!$A$8:$A$136,A24,'FotMob Seasons'!$H$8:$H$136,"Yes")</f>
        <v>10471</v>
      </c>
      <c r="U24" s="17" t="n">
        <f aca="false">COUNTIFS('FotMob Seasons'!$A$8:$A$136,A24,'FotMob Seasons'!$H$8:$H$136,"Yes")</f>
        <v>5</v>
      </c>
      <c r="V24" s="18" t="n">
        <f aca="false">IFERROR(T24/U24,"")</f>
        <v>2094.2</v>
      </c>
      <c r="W24" s="18" t="n">
        <f aca="false">IFERROR(V24/G24,"")</f>
        <v>117.651685393258</v>
      </c>
      <c r="X24" s="19" t="n">
        <v>6.92</v>
      </c>
      <c r="Y24" s="19" t="n">
        <v>6.85</v>
      </c>
      <c r="Z24" s="19" t="n">
        <v>7.27</v>
      </c>
      <c r="AA24" s="19" t="n">
        <v>7.6</v>
      </c>
      <c r="AB24" s="19" t="n">
        <v>7.4</v>
      </c>
      <c r="AC24" s="19"/>
      <c r="AD24" s="19"/>
      <c r="AE24" s="19"/>
      <c r="AF24" s="20" t="n">
        <f aca="false">IFERROR(AVERAGEIFS('FotMob Seasons'!$G$8:$G$136,'FotMob Seasons'!$A$8:$A$136,A24,'FotMob Seasons'!$H$8:$H$136,"Yes"),"")</f>
        <v>7.208</v>
      </c>
      <c r="AG24" s="10" t="s">
        <v>119</v>
      </c>
      <c r="AH24" s="21" t="s">
        <v>60</v>
      </c>
      <c r="AI24" s="21" t="s">
        <v>61</v>
      </c>
      <c r="AJ24" s="21" t="s">
        <v>62</v>
      </c>
    </row>
    <row r="25" customFormat="false" ht="24" hidden="false" customHeight="true" outlineLevel="0" collapsed="false">
      <c r="A25" s="10" t="s">
        <v>120</v>
      </c>
      <c r="B25" s="10" t="s">
        <v>81</v>
      </c>
      <c r="C25" s="11" t="n">
        <v>27</v>
      </c>
      <c r="D25" s="10" t="s">
        <v>116</v>
      </c>
      <c r="E25" s="10"/>
      <c r="F25" s="10" t="s">
        <v>54</v>
      </c>
      <c r="G25" s="12" t="n">
        <v>1.1</v>
      </c>
      <c r="H25" s="10" t="s">
        <v>121</v>
      </c>
      <c r="I25" s="10" t="s">
        <v>96</v>
      </c>
      <c r="J25" s="10" t="s">
        <v>111</v>
      </c>
      <c r="K25" s="13" t="s">
        <v>58</v>
      </c>
      <c r="L25" s="14"/>
      <c r="M25" s="14" t="n">
        <v>0</v>
      </c>
      <c r="N25" s="15" t="str">
        <f aca="false">IF(A25="","",IF(LEFT(K25,15)="Still at Palace","Current market value","Sale fee"))</f>
        <v>Sale fee</v>
      </c>
      <c r="O25" s="15" t="n">
        <f aca="false">IF(K25="Sold",M25,IF(OR(K25="Still at Palace",K25="Still at Palace (on loan)"),L25,0))</f>
        <v>0</v>
      </c>
      <c r="P25" s="15" t="str">
        <f aca="false">IF(Q25&gt;0,"Gain",IF(Q25&lt;0,"Loss","Neutral"))</f>
        <v>Loss</v>
      </c>
      <c r="Q25" s="15" t="n">
        <f aca="false">O25-G25</f>
        <v>-1.1</v>
      </c>
      <c r="R25" s="16" t="n">
        <f aca="false">IFERROR(Q25/G25,"")</f>
        <v>-1</v>
      </c>
      <c r="S25" s="14" t="n">
        <v>3.5</v>
      </c>
      <c r="T25" s="17" t="n">
        <f aca="false">SUMIFS('FotMob Seasons'!$F$8:$F$136,'FotMob Seasons'!$A$8:$A$136,A25,'FotMob Seasons'!$H$8:$H$136,"Yes")</f>
        <v>10</v>
      </c>
      <c r="U25" s="17" t="n">
        <f aca="false">COUNTIFS('FotMob Seasons'!$A$8:$A$136,A25,'FotMob Seasons'!$H$8:$H$136,"Yes")</f>
        <v>2</v>
      </c>
      <c r="V25" s="18" t="n">
        <f aca="false">IFERROR(T25/U25,"")</f>
        <v>5</v>
      </c>
      <c r="W25" s="18" t="n">
        <f aca="false">IFERROR(V25/G25,"")</f>
        <v>4.54545454545455</v>
      </c>
      <c r="X25" s="19" t="n">
        <v>6.38</v>
      </c>
      <c r="Y25" s="19" t="n">
        <v>6.26</v>
      </c>
      <c r="Z25" s="19"/>
      <c r="AA25" s="19"/>
      <c r="AB25" s="19"/>
      <c r="AC25" s="19"/>
      <c r="AD25" s="19"/>
      <c r="AE25" s="19"/>
      <c r="AF25" s="20" t="n">
        <f aca="false">IFERROR(AVERAGEIFS('FotMob Seasons'!$G$8:$G$136,'FotMob Seasons'!$A$8:$A$136,A25,'FotMob Seasons'!$H$8:$H$136,"Yes"),"")</f>
        <v>6.32</v>
      </c>
      <c r="AG25" s="10" t="s">
        <v>59</v>
      </c>
      <c r="AH25" s="21" t="s">
        <v>85</v>
      </c>
      <c r="AI25" s="21" t="s">
        <v>61</v>
      </c>
      <c r="AJ25" s="21" t="s">
        <v>62</v>
      </c>
    </row>
    <row r="26" customFormat="false" ht="24" hidden="false" customHeight="true" outlineLevel="0" collapsed="false">
      <c r="A26" s="10" t="s">
        <v>122</v>
      </c>
      <c r="B26" s="10" t="s">
        <v>52</v>
      </c>
      <c r="C26" s="11" t="n">
        <v>29</v>
      </c>
      <c r="D26" s="10" t="s">
        <v>116</v>
      </c>
      <c r="E26" s="10"/>
      <c r="F26" s="10" t="s">
        <v>82</v>
      </c>
      <c r="G26" s="12" t="n">
        <v>0</v>
      </c>
      <c r="H26" s="10" t="s">
        <v>55</v>
      </c>
      <c r="I26" s="10" t="s">
        <v>56</v>
      </c>
      <c r="J26" s="10" t="s">
        <v>123</v>
      </c>
      <c r="K26" s="13" t="s">
        <v>124</v>
      </c>
      <c r="L26" s="14" t="n">
        <v>0.3</v>
      </c>
      <c r="M26" s="14"/>
      <c r="N26" s="15" t="str">
        <f aca="false">IF(A26="","",IF(LEFT(K26,15)="Still at Palace","Current market value","Sale fee"))</f>
        <v>Current market value</v>
      </c>
      <c r="O26" s="15" t="n">
        <f aca="false">IF(K26="Sold",M26,IF(OR(K26="Still at Palace",K26="Still at Palace (on loan)"),L26,0))</f>
        <v>0.3</v>
      </c>
      <c r="P26" s="15" t="str">
        <f aca="false">IF(Q26&gt;0,"Gain",IF(Q26&lt;0,"Loss","Neutral"))</f>
        <v>Gain</v>
      </c>
      <c r="Q26" s="15" t="n">
        <f aca="false">O26-G26</f>
        <v>0.3</v>
      </c>
      <c r="R26" s="16" t="str">
        <f aca="false">IFERROR(Q26/G26,"")</f>
        <v/>
      </c>
      <c r="S26" s="14" t="n">
        <v>8</v>
      </c>
      <c r="T26" s="17" t="n">
        <f aca="false">SUMIFS('FotMob Seasons'!$F$8:$F$136,'FotMob Seasons'!$A$8:$A$136,A26,'FotMob Seasons'!$H$8:$H$136,"Yes")</f>
        <v>6554</v>
      </c>
      <c r="U26" s="17" t="n">
        <f aca="false">COUNTIFS('FotMob Seasons'!$A$8:$A$136,A26,'FotMob Seasons'!$H$8:$H$136,"Yes")</f>
        <v>6</v>
      </c>
      <c r="V26" s="18" t="n">
        <f aca="false">IFERROR(T26/U26,"")</f>
        <v>1092.33333333333</v>
      </c>
      <c r="W26" s="18" t="str">
        <f aca="false">IFERROR(V26/G26,"")</f>
        <v/>
      </c>
      <c r="X26" s="19" t="n">
        <v>6.37</v>
      </c>
      <c r="Y26" s="19" t="n">
        <v>6.97</v>
      </c>
      <c r="Z26" s="19" t="n">
        <v>6.6</v>
      </c>
      <c r="AA26" s="19" t="n">
        <v>6.82</v>
      </c>
      <c r="AB26" s="19" t="n">
        <v>6.22</v>
      </c>
      <c r="AC26" s="19" t="n">
        <v>6.68</v>
      </c>
      <c r="AD26" s="19"/>
      <c r="AE26" s="19"/>
      <c r="AF26" s="20" t="n">
        <f aca="false">IFERROR(AVERAGEIFS('FotMob Seasons'!$G$8:$G$136,'FotMob Seasons'!$A$8:$A$136,A26,'FotMob Seasons'!$H$8:$H$136,"Yes"),"")</f>
        <v>6.61</v>
      </c>
      <c r="AG26" s="10" t="s">
        <v>125</v>
      </c>
      <c r="AH26" s="21" t="s">
        <v>60</v>
      </c>
      <c r="AI26" s="21" t="s">
        <v>61</v>
      </c>
      <c r="AJ26" s="21" t="s">
        <v>62</v>
      </c>
    </row>
    <row r="27" customFormat="false" ht="24" hidden="false" customHeight="true" outlineLevel="0" collapsed="false">
      <c r="A27" s="10" t="s">
        <v>126</v>
      </c>
      <c r="B27" s="10" t="s">
        <v>52</v>
      </c>
      <c r="C27" s="11" t="n">
        <v>19</v>
      </c>
      <c r="D27" s="10" t="s">
        <v>116</v>
      </c>
      <c r="E27" s="10"/>
      <c r="F27" s="10" t="s">
        <v>82</v>
      </c>
      <c r="G27" s="12" t="n">
        <v>0</v>
      </c>
      <c r="H27" s="10" t="s">
        <v>95</v>
      </c>
      <c r="I27" s="10" t="s">
        <v>56</v>
      </c>
      <c r="J27" s="10" t="s">
        <v>127</v>
      </c>
      <c r="K27" s="13" t="s">
        <v>58</v>
      </c>
      <c r="L27" s="14"/>
      <c r="M27" s="14" t="n">
        <v>0</v>
      </c>
      <c r="N27" s="15" t="str">
        <f aca="false">IF(A27="","",IF(LEFT(K27,15)="Still at Palace","Current market value","Sale fee"))</f>
        <v>Sale fee</v>
      </c>
      <c r="O27" s="15" t="n">
        <f aca="false">IF(K27="Sold",M27,IF(OR(K27="Still at Palace",K27="Still at Palace (on loan)"),L27,0))</f>
        <v>0</v>
      </c>
      <c r="P27" s="15" t="str">
        <f aca="false">IF(Q27&gt;0,"Gain",IF(Q27&lt;0,"Loss","Neutral"))</f>
        <v>Neutral</v>
      </c>
      <c r="Q27" s="15" t="n">
        <f aca="false">O27-G27</f>
        <v>0</v>
      </c>
      <c r="R27" s="16" t="str">
        <f aca="false">IFERROR(Q27/G27,"")</f>
        <v/>
      </c>
      <c r="S27" s="14" t="n">
        <v>4</v>
      </c>
      <c r="T27" s="17" t="n">
        <f aca="false">SUMIFS('FotMob Seasons'!$F$8:$F$136,'FotMob Seasons'!$A$8:$A$136,A27,'FotMob Seasons'!$H$8:$H$136,"Yes")</f>
        <v>8</v>
      </c>
      <c r="U27" s="17" t="n">
        <f aca="false">COUNTIFS('FotMob Seasons'!$A$8:$A$136,A27,'FotMob Seasons'!$H$8:$H$136,"Yes")</f>
        <v>4</v>
      </c>
      <c r="V27" s="18" t="n">
        <f aca="false">IFERROR(T27/U27,"")</f>
        <v>2</v>
      </c>
      <c r="W27" s="18" t="str">
        <f aca="false">IFERROR(V27/G27,"")</f>
        <v/>
      </c>
      <c r="X27" s="19"/>
      <c r="Y27" s="19"/>
      <c r="Z27" s="19"/>
      <c r="AA27" s="19"/>
      <c r="AB27" s="19"/>
      <c r="AC27" s="19"/>
      <c r="AD27" s="19"/>
      <c r="AE27" s="19"/>
      <c r="AF27" s="20" t="str">
        <f aca="false">IFERROR(AVERAGEIFS('FotMob Seasons'!$G$8:$G$136,'FotMob Seasons'!$A$8:$A$136,A27,'FotMob Seasons'!$H$8:$H$136,"Yes"),"")</f>
        <v/>
      </c>
      <c r="AG27" s="10" t="s">
        <v>74</v>
      </c>
      <c r="AH27" s="21" t="s">
        <v>60</v>
      </c>
      <c r="AI27" s="21" t="s">
        <v>128</v>
      </c>
      <c r="AJ27" s="21" t="s">
        <v>62</v>
      </c>
    </row>
    <row r="28" customFormat="false" ht="24" hidden="false" customHeight="true" outlineLevel="0" collapsed="false">
      <c r="A28" s="10" t="s">
        <v>129</v>
      </c>
      <c r="B28" s="10" t="s">
        <v>52</v>
      </c>
      <c r="C28" s="11" t="n">
        <v>21</v>
      </c>
      <c r="D28" s="10" t="s">
        <v>130</v>
      </c>
      <c r="E28" s="10"/>
      <c r="F28" s="10" t="s">
        <v>54</v>
      </c>
      <c r="G28" s="12" t="n">
        <v>23.34</v>
      </c>
      <c r="H28" s="10" t="s">
        <v>110</v>
      </c>
      <c r="I28" s="10" t="s">
        <v>56</v>
      </c>
      <c r="J28" s="10" t="s">
        <v>131</v>
      </c>
      <c r="K28" s="13" t="s">
        <v>68</v>
      </c>
      <c r="L28" s="14"/>
      <c r="M28" s="14" t="n">
        <v>23</v>
      </c>
      <c r="N28" s="15" t="str">
        <f aca="false">IF(A28="","",IF(LEFT(K28,15)="Still at Palace","Current market value","Sale fee"))</f>
        <v>Sale fee</v>
      </c>
      <c r="O28" s="15" t="n">
        <f aca="false">IF(K28="Sold",M28,IF(OR(K28="Still at Palace",K28="Still at Palace (on loan)"),L28,0))</f>
        <v>23</v>
      </c>
      <c r="P28" s="15" t="str">
        <f aca="false">IF(Q28&gt;0,"Gain",IF(Q28&lt;0,"Loss","Neutral"))</f>
        <v>Loss</v>
      </c>
      <c r="Q28" s="15" t="n">
        <f aca="false">O28-G28</f>
        <v>-0.34</v>
      </c>
      <c r="R28" s="16" t="n">
        <f aca="false">IFERROR(Q28/G28,"")</f>
        <v>-0.0145672664952871</v>
      </c>
      <c r="S28" s="14" t="n">
        <v>10</v>
      </c>
      <c r="T28" s="17" t="n">
        <f aca="false">SUMIFS('FotMob Seasons'!$F$8:$F$136,'FotMob Seasons'!$A$8:$A$136,A28,'FotMob Seasons'!$H$8:$H$136,"Yes")</f>
        <v>11632</v>
      </c>
      <c r="U28" s="17" t="n">
        <f aca="false">COUNTIFS('FotMob Seasons'!$A$8:$A$136,A28,'FotMob Seasons'!$H$8:$H$136,"Yes")</f>
        <v>4</v>
      </c>
      <c r="V28" s="18" t="n">
        <f aca="false">IFERROR(T28/U28,"")</f>
        <v>2908</v>
      </c>
      <c r="W28" s="18" t="n">
        <f aca="false">IFERROR(V28/G28,"")</f>
        <v>124.592973436161</v>
      </c>
      <c r="X28" s="19" t="n">
        <v>7.04</v>
      </c>
      <c r="Y28" s="19" t="n">
        <v>7.02</v>
      </c>
      <c r="Z28" s="19" t="n">
        <v>6.79</v>
      </c>
      <c r="AA28" s="19" t="n">
        <v>6.92</v>
      </c>
      <c r="AB28" s="19"/>
      <c r="AC28" s="19"/>
      <c r="AD28" s="19"/>
      <c r="AE28" s="19"/>
      <c r="AF28" s="20" t="n">
        <f aca="false">IFERROR(AVERAGEIFS('FotMob Seasons'!$G$8:$G$136,'FotMob Seasons'!$A$8:$A$136,A28,'FotMob Seasons'!$H$8:$H$136,"Yes"),"")</f>
        <v>6.9425</v>
      </c>
      <c r="AG28" s="10" t="s">
        <v>119</v>
      </c>
      <c r="AH28" s="21" t="s">
        <v>60</v>
      </c>
      <c r="AI28" s="21" t="s">
        <v>61</v>
      </c>
      <c r="AJ28" s="21" t="s">
        <v>62</v>
      </c>
    </row>
    <row r="29" customFormat="false" ht="24" hidden="false" customHeight="true" outlineLevel="0" collapsed="false">
      <c r="A29" s="10" t="s">
        <v>132</v>
      </c>
      <c r="B29" s="10" t="s">
        <v>52</v>
      </c>
      <c r="C29" s="11" t="n">
        <v>25</v>
      </c>
      <c r="D29" s="10" t="s">
        <v>130</v>
      </c>
      <c r="E29" s="10"/>
      <c r="F29" s="10" t="s">
        <v>54</v>
      </c>
      <c r="G29" s="12" t="n">
        <v>17.5</v>
      </c>
      <c r="H29" s="10" t="s">
        <v>133</v>
      </c>
      <c r="I29" s="10" t="s">
        <v>134</v>
      </c>
      <c r="J29" s="10" t="s">
        <v>135</v>
      </c>
      <c r="K29" s="13" t="s">
        <v>68</v>
      </c>
      <c r="L29" s="14"/>
      <c r="M29" s="14" t="n">
        <v>29.5</v>
      </c>
      <c r="N29" s="15" t="str">
        <f aca="false">IF(A29="","",IF(LEFT(K29,15)="Still at Palace","Current market value","Sale fee"))</f>
        <v>Sale fee</v>
      </c>
      <c r="O29" s="15" t="n">
        <f aca="false">IF(K29="Sold",M29,IF(OR(K29="Still at Palace",K29="Still at Palace (on loan)"),L29,0))</f>
        <v>29.5</v>
      </c>
      <c r="P29" s="15" t="str">
        <f aca="false">IF(Q29&gt;0,"Gain",IF(Q29&lt;0,"Loss","Neutral"))</f>
        <v>Gain</v>
      </c>
      <c r="Q29" s="15" t="n">
        <f aca="false">O29-G29</f>
        <v>12</v>
      </c>
      <c r="R29" s="16" t="n">
        <f aca="false">IFERROR(Q29/G29,"")</f>
        <v>0.685714285714286</v>
      </c>
      <c r="S29" s="14" t="n">
        <v>22</v>
      </c>
      <c r="T29" s="17" t="n">
        <f aca="false">SUMIFS('FotMob Seasons'!$F$8:$F$136,'FotMob Seasons'!$A$8:$A$136,A29,'FotMob Seasons'!$H$8:$H$136,"Yes")</f>
        <v>9114</v>
      </c>
      <c r="U29" s="17" t="n">
        <f aca="false">COUNTIFS('FotMob Seasons'!$A$8:$A$136,A29,'FotMob Seasons'!$H$8:$H$136,"Yes")</f>
        <v>3</v>
      </c>
      <c r="V29" s="18" t="n">
        <f aca="false">IFERROR(T29/U29,"")</f>
        <v>3038</v>
      </c>
      <c r="W29" s="18" t="n">
        <f aca="false">IFERROR(V29/G29,"")</f>
        <v>173.6</v>
      </c>
      <c r="X29" s="19" t="n">
        <v>6.91</v>
      </c>
      <c r="Y29" s="19" t="n">
        <v>7.06</v>
      </c>
      <c r="Z29" s="19" t="n">
        <v>7.03</v>
      </c>
      <c r="AA29" s="19"/>
      <c r="AB29" s="19"/>
      <c r="AC29" s="19"/>
      <c r="AD29" s="19"/>
      <c r="AE29" s="19"/>
      <c r="AF29" s="20" t="n">
        <f aca="false">IFERROR(AVERAGEIFS('FotMob Seasons'!$G$8:$G$136,'FotMob Seasons'!$A$8:$A$136,A29,'FotMob Seasons'!$H$8:$H$136,"Yes"),"")</f>
        <v>7</v>
      </c>
      <c r="AG29" s="10" t="s">
        <v>74</v>
      </c>
      <c r="AH29" s="21" t="s">
        <v>60</v>
      </c>
      <c r="AI29" s="21" t="s">
        <v>61</v>
      </c>
      <c r="AJ29" s="21" t="s">
        <v>136</v>
      </c>
    </row>
    <row r="30" customFormat="false" ht="24" hidden="false" customHeight="true" outlineLevel="0" collapsed="false">
      <c r="A30" s="10" t="s">
        <v>137</v>
      </c>
      <c r="B30" s="10" t="s">
        <v>64</v>
      </c>
      <c r="C30" s="11" t="n">
        <v>23</v>
      </c>
      <c r="D30" s="10" t="s">
        <v>130</v>
      </c>
      <c r="E30" s="10"/>
      <c r="F30" s="10" t="s">
        <v>54</v>
      </c>
      <c r="G30" s="12" t="n">
        <v>16.3</v>
      </c>
      <c r="H30" s="10" t="s">
        <v>138</v>
      </c>
      <c r="I30" s="10" t="s">
        <v>139</v>
      </c>
      <c r="J30" s="10" t="s">
        <v>140</v>
      </c>
      <c r="K30" s="13" t="s">
        <v>68</v>
      </c>
      <c r="L30" s="14"/>
      <c r="M30" s="14" t="n">
        <v>3.7</v>
      </c>
      <c r="N30" s="15" t="str">
        <f aca="false">IF(A30="","",IF(LEFT(K30,15)="Still at Palace","Current market value","Sale fee"))</f>
        <v>Sale fee</v>
      </c>
      <c r="O30" s="15" t="n">
        <f aca="false">IF(K30="Sold",M30,IF(OR(K30="Still at Palace",K30="Still at Palace (on loan)"),L30,0))</f>
        <v>3.7</v>
      </c>
      <c r="P30" s="15" t="str">
        <f aca="false">IF(Q30&gt;0,"Gain",IF(Q30&lt;0,"Loss","Neutral"))</f>
        <v>Loss</v>
      </c>
      <c r="Q30" s="15" t="n">
        <f aca="false">O30-G30</f>
        <v>-12.6</v>
      </c>
      <c r="R30" s="16" t="n">
        <f aca="false">IFERROR(Q30/G30,"")</f>
        <v>-0.773006134969325</v>
      </c>
      <c r="S30" s="14" t="n">
        <v>17</v>
      </c>
      <c r="T30" s="17" t="n">
        <f aca="false">SUMIFS('FotMob Seasons'!$F$8:$F$136,'FotMob Seasons'!$A$8:$A$136,A30,'FotMob Seasons'!$H$8:$H$136,"Yes")</f>
        <v>4924</v>
      </c>
      <c r="U30" s="17" t="n">
        <f aca="false">COUNTIFS('FotMob Seasons'!$A$8:$A$136,A30,'FotMob Seasons'!$H$8:$H$136,"Yes")</f>
        <v>3</v>
      </c>
      <c r="V30" s="18" t="n">
        <f aca="false">IFERROR(T30/U30,"")</f>
        <v>1641.33333333333</v>
      </c>
      <c r="W30" s="18" t="n">
        <f aca="false">IFERROR(V30/G30,"")</f>
        <v>100.695296523517</v>
      </c>
      <c r="X30" s="19" t="n">
        <v>6.78</v>
      </c>
      <c r="Y30" s="19" t="n">
        <v>6.43</v>
      </c>
      <c r="Z30" s="19" t="n">
        <v>6.75</v>
      </c>
      <c r="AA30" s="19"/>
      <c r="AB30" s="19"/>
      <c r="AC30" s="19"/>
      <c r="AD30" s="19"/>
      <c r="AE30" s="19"/>
      <c r="AF30" s="20" t="n">
        <f aca="false">IFERROR(AVERAGEIFS('FotMob Seasons'!$G$8:$G$136,'FotMob Seasons'!$A$8:$A$136,A30,'FotMob Seasons'!$H$8:$H$136,"Yes"),"")</f>
        <v>6.65333333333333</v>
      </c>
      <c r="AG30" s="10" t="s">
        <v>119</v>
      </c>
      <c r="AH30" s="21" t="s">
        <v>60</v>
      </c>
      <c r="AI30" s="21" t="s">
        <v>141</v>
      </c>
      <c r="AJ30" s="21" t="s">
        <v>136</v>
      </c>
    </row>
    <row r="31" customFormat="false" ht="24" hidden="false" customHeight="true" outlineLevel="0" collapsed="false">
      <c r="A31" s="10" t="s">
        <v>142</v>
      </c>
      <c r="B31" s="10" t="s">
        <v>64</v>
      </c>
      <c r="C31" s="11" t="n">
        <v>24</v>
      </c>
      <c r="D31" s="10" t="s">
        <v>130</v>
      </c>
      <c r="E31" s="10"/>
      <c r="F31" s="10" t="s">
        <v>54</v>
      </c>
      <c r="G31" s="12" t="n">
        <v>11</v>
      </c>
      <c r="H31" s="10" t="s">
        <v>143</v>
      </c>
      <c r="I31" s="10" t="s">
        <v>92</v>
      </c>
      <c r="J31" s="10" t="s">
        <v>144</v>
      </c>
      <c r="K31" s="13" t="s">
        <v>124</v>
      </c>
      <c r="L31" s="14" t="n">
        <v>30</v>
      </c>
      <c r="M31" s="14"/>
      <c r="N31" s="15" t="str">
        <f aca="false">IF(A31="","",IF(LEFT(K31,15)="Still at Palace","Current market value","Sale fee"))</f>
        <v>Current market value</v>
      </c>
      <c r="O31" s="15" t="n">
        <f aca="false">IF(K31="Sold",M31,IF(OR(K31="Still at Palace",K31="Still at Palace (on loan)"),L31,0))</f>
        <v>30</v>
      </c>
      <c r="P31" s="15" t="str">
        <f aca="false">IF(Q31&gt;0,"Gain",IF(Q31&lt;0,"Loss","Neutral"))</f>
        <v>Gain</v>
      </c>
      <c r="Q31" s="15" t="n">
        <f aca="false">O31-G31</f>
        <v>19</v>
      </c>
      <c r="R31" s="16" t="n">
        <f aca="false">IFERROR(Q31/G31,"")</f>
        <v>1.72727272727273</v>
      </c>
      <c r="S31" s="14" t="n">
        <v>6</v>
      </c>
      <c r="T31" s="17" t="n">
        <f aca="false">SUMIFS('FotMob Seasons'!$F$8:$F$136,'FotMob Seasons'!$A$8:$A$136,A31,'FotMob Seasons'!$H$8:$H$136,"Yes")</f>
        <v>9061</v>
      </c>
      <c r="U31" s="17" t="n">
        <f aca="false">COUNTIFS('FotMob Seasons'!$A$8:$A$136,A31,'FotMob Seasons'!$H$8:$H$136,"Yes")</f>
        <v>5</v>
      </c>
      <c r="V31" s="18" t="n">
        <f aca="false">IFERROR(T31/U31,"")</f>
        <v>1812.2</v>
      </c>
      <c r="W31" s="18" t="n">
        <f aca="false">IFERROR(V31/G31,"")</f>
        <v>164.745454545455</v>
      </c>
      <c r="X31" s="19" t="n">
        <v>6.6</v>
      </c>
      <c r="Y31" s="19" t="n">
        <v>6.15</v>
      </c>
      <c r="Z31" s="19" t="n">
        <v>6.95</v>
      </c>
      <c r="AA31" s="19" t="n">
        <v>6.86</v>
      </c>
      <c r="AB31" s="19" t="n">
        <v>6.68</v>
      </c>
      <c r="AC31" s="19"/>
      <c r="AD31" s="19"/>
      <c r="AE31" s="19"/>
      <c r="AF31" s="20" t="n">
        <f aca="false">IFERROR(AVERAGEIFS('FotMob Seasons'!$G$8:$G$136,'FotMob Seasons'!$A$8:$A$136,A31,'FotMob Seasons'!$H$8:$H$136,"Yes"),"")</f>
        <v>6.648</v>
      </c>
      <c r="AG31" s="10" t="s">
        <v>125</v>
      </c>
      <c r="AH31" s="21" t="s">
        <v>60</v>
      </c>
      <c r="AI31" s="21" t="s">
        <v>61</v>
      </c>
      <c r="AJ31" s="21" t="s">
        <v>136</v>
      </c>
    </row>
    <row r="32" customFormat="false" ht="24" hidden="false" customHeight="true" outlineLevel="0" collapsed="false">
      <c r="A32" s="10" t="s">
        <v>145</v>
      </c>
      <c r="B32" s="10" t="s">
        <v>64</v>
      </c>
      <c r="C32" s="11" t="n">
        <v>19</v>
      </c>
      <c r="D32" s="10" t="s">
        <v>130</v>
      </c>
      <c r="E32" s="10"/>
      <c r="F32" s="10" t="s">
        <v>54</v>
      </c>
      <c r="G32" s="12" t="n">
        <v>9.3</v>
      </c>
      <c r="H32" s="10" t="s">
        <v>146</v>
      </c>
      <c r="I32" s="10" t="s">
        <v>96</v>
      </c>
      <c r="J32" s="10" t="s">
        <v>147</v>
      </c>
      <c r="K32" s="13" t="s">
        <v>68</v>
      </c>
      <c r="L32" s="14"/>
      <c r="M32" s="14" t="n">
        <v>53</v>
      </c>
      <c r="N32" s="15" t="str">
        <f aca="false">IF(A32="","",IF(LEFT(K32,15)="Still at Palace","Current market value","Sale fee"))</f>
        <v>Sale fee</v>
      </c>
      <c r="O32" s="15" t="n">
        <f aca="false">IF(K32="Sold",M32,IF(OR(K32="Still at Palace",K32="Still at Palace (on loan)"),L32,0))</f>
        <v>53</v>
      </c>
      <c r="P32" s="15" t="str">
        <f aca="false">IF(Q32&gt;0,"Gain",IF(Q32&lt;0,"Loss","Neutral"))</f>
        <v>Gain</v>
      </c>
      <c r="Q32" s="15" t="n">
        <f aca="false">O32-G32</f>
        <v>43.7</v>
      </c>
      <c r="R32" s="16" t="n">
        <f aca="false">IFERROR(Q32/G32,"")</f>
        <v>4.6989247311828</v>
      </c>
      <c r="S32" s="14" t="n">
        <v>15</v>
      </c>
      <c r="T32" s="17" t="n">
        <f aca="false">SUMIFS('FotMob Seasons'!$F$8:$F$136,'FotMob Seasons'!$A$8:$A$136,A32,'FotMob Seasons'!$H$8:$H$136,"Yes")</f>
        <v>5170</v>
      </c>
      <c r="U32" s="17" t="n">
        <f aca="false">COUNTIFS('FotMob Seasons'!$A$8:$A$136,A32,'FotMob Seasons'!$H$8:$H$136,"Yes")</f>
        <v>3</v>
      </c>
      <c r="V32" s="18" t="n">
        <f aca="false">IFERROR(T32/U32,"")</f>
        <v>1723.33333333333</v>
      </c>
      <c r="W32" s="18" t="n">
        <f aca="false">IFERROR(V32/G32,"")</f>
        <v>185.304659498208</v>
      </c>
      <c r="X32" s="19" t="n">
        <v>6.95</v>
      </c>
      <c r="Y32" s="19" t="n">
        <v>7.25</v>
      </c>
      <c r="Z32" s="19" t="n">
        <v>7.71</v>
      </c>
      <c r="AA32" s="19"/>
      <c r="AB32" s="19"/>
      <c r="AC32" s="19"/>
      <c r="AD32" s="19"/>
      <c r="AE32" s="19"/>
      <c r="AF32" s="20" t="n">
        <f aca="false">IFERROR(AVERAGEIFS('FotMob Seasons'!$G$8:$G$136,'FotMob Seasons'!$A$8:$A$136,A32,'FotMob Seasons'!$H$8:$H$136,"Yes"),"")</f>
        <v>7.30333333333333</v>
      </c>
      <c r="AG32" s="10" t="s">
        <v>74</v>
      </c>
      <c r="AH32" s="21" t="s">
        <v>60</v>
      </c>
      <c r="AI32" s="21" t="s">
        <v>61</v>
      </c>
      <c r="AJ32" s="21" t="s">
        <v>136</v>
      </c>
    </row>
    <row r="33" customFormat="false" ht="24" hidden="false" customHeight="true" outlineLevel="0" collapsed="false">
      <c r="A33" s="10" t="s">
        <v>148</v>
      </c>
      <c r="B33" s="10" t="s">
        <v>70</v>
      </c>
      <c r="C33" s="11" t="n">
        <v>26</v>
      </c>
      <c r="D33" s="10" t="s">
        <v>130</v>
      </c>
      <c r="E33" s="10"/>
      <c r="F33" s="10" t="s">
        <v>54</v>
      </c>
      <c r="G33" s="12" t="n">
        <v>7</v>
      </c>
      <c r="H33" s="10" t="s">
        <v>149</v>
      </c>
      <c r="I33" s="10" t="s">
        <v>56</v>
      </c>
      <c r="J33" s="10" t="s">
        <v>111</v>
      </c>
      <c r="K33" s="13" t="s">
        <v>124</v>
      </c>
      <c r="L33" s="14" t="n">
        <v>5</v>
      </c>
      <c r="M33" s="14"/>
      <c r="N33" s="15" t="str">
        <f aca="false">IF(A33="","",IF(LEFT(K33,15)="Still at Palace","Current market value","Sale fee"))</f>
        <v>Current market value</v>
      </c>
      <c r="O33" s="15" t="n">
        <f aca="false">IF(K33="Sold",M33,IF(OR(K33="Still at Palace",K33="Still at Palace (on loan)"),L33,0))</f>
        <v>5</v>
      </c>
      <c r="P33" s="15" t="str">
        <f aca="false">IF(Q33&gt;0,"Gain",IF(Q33&lt;0,"Loss","Neutral"))</f>
        <v>Loss</v>
      </c>
      <c r="Q33" s="15" t="n">
        <f aca="false">O33-G33</f>
        <v>-2</v>
      </c>
      <c r="R33" s="16" t="n">
        <f aca="false">IFERROR(Q33/G33,"")</f>
        <v>-0.285714285714286</v>
      </c>
      <c r="S33" s="14" t="n">
        <v>7</v>
      </c>
      <c r="T33" s="17" t="n">
        <f aca="false">SUMIFS('FotMob Seasons'!$F$8:$F$136,'FotMob Seasons'!$A$8:$A$136,A33,'FotMob Seasons'!$H$8:$H$136,"Yes")</f>
        <v>7470</v>
      </c>
      <c r="U33" s="17" t="n">
        <f aca="false">COUNTIFS('FotMob Seasons'!$A$8:$A$136,A33,'FotMob Seasons'!$H$8:$H$136,"Yes")</f>
        <v>5</v>
      </c>
      <c r="V33" s="18" t="n">
        <f aca="false">IFERROR(T33/U33,"")</f>
        <v>1494</v>
      </c>
      <c r="W33" s="18" t="n">
        <f aca="false">IFERROR(V33/G33,"")</f>
        <v>213.428571428571</v>
      </c>
      <c r="X33" s="19" t="n">
        <v>6.53</v>
      </c>
      <c r="Y33" s="19" t="n">
        <v>6.78</v>
      </c>
      <c r="Z33" s="19" t="n">
        <v>6.72</v>
      </c>
      <c r="AA33" s="19" t="n">
        <v>6.56</v>
      </c>
      <c r="AB33" s="19"/>
      <c r="AC33" s="19"/>
      <c r="AD33" s="19"/>
      <c r="AE33" s="19"/>
      <c r="AF33" s="20" t="n">
        <f aca="false">IFERROR(AVERAGEIFS('FotMob Seasons'!$G$8:$G$136,'FotMob Seasons'!$A$8:$A$136,A33,'FotMob Seasons'!$H$8:$H$136,"Yes"),"")</f>
        <v>6.71</v>
      </c>
      <c r="AG33" s="10" t="s">
        <v>125</v>
      </c>
      <c r="AH33" s="21" t="s">
        <v>60</v>
      </c>
      <c r="AI33" s="21" t="s">
        <v>128</v>
      </c>
      <c r="AJ33" s="21" t="s">
        <v>136</v>
      </c>
    </row>
    <row r="34" customFormat="false" ht="24" hidden="false" customHeight="true" outlineLevel="0" collapsed="false">
      <c r="A34" s="10" t="s">
        <v>150</v>
      </c>
      <c r="B34" s="10" t="s">
        <v>81</v>
      </c>
      <c r="C34" s="11" t="n">
        <v>27</v>
      </c>
      <c r="D34" s="10" t="s">
        <v>130</v>
      </c>
      <c r="E34" s="10"/>
      <c r="F34" s="10" t="s">
        <v>82</v>
      </c>
      <c r="G34" s="12" t="n">
        <v>0</v>
      </c>
      <c r="H34" s="10" t="s">
        <v>151</v>
      </c>
      <c r="I34" s="10" t="s">
        <v>152</v>
      </c>
      <c r="J34" s="10" t="s">
        <v>111</v>
      </c>
      <c r="K34" s="13" t="s">
        <v>124</v>
      </c>
      <c r="L34" s="14" t="n">
        <v>0.2</v>
      </c>
      <c r="M34" s="14"/>
      <c r="N34" s="15" t="str">
        <f aca="false">IF(A34="","",IF(LEFT(K34,15)="Still at Palace","Current market value","Sale fee"))</f>
        <v>Current market value</v>
      </c>
      <c r="O34" s="15" t="n">
        <f aca="false">IF(K34="Sold",M34,IF(OR(K34="Still at Palace",K34="Still at Palace (on loan)"),L34,0))</f>
        <v>0.2</v>
      </c>
      <c r="P34" s="15" t="str">
        <f aca="false">IF(Q34&gt;0,"Gain",IF(Q34&lt;0,"Loss","Neutral"))</f>
        <v>Gain</v>
      </c>
      <c r="Q34" s="15" t="n">
        <f aca="false">O34-G34</f>
        <v>0.2</v>
      </c>
      <c r="R34" s="16" t="str">
        <f aca="false">IFERROR(Q34/G34,"")</f>
        <v/>
      </c>
      <c r="S34" s="14" t="n">
        <v>0.3</v>
      </c>
      <c r="T34" s="17" t="n">
        <f aca="false">SUMIFS('FotMob Seasons'!$F$8:$F$136,'FotMob Seasons'!$A$8:$A$136,A34,'FotMob Seasons'!$H$8:$H$136,"Yes")</f>
        <v>1</v>
      </c>
      <c r="U34" s="17" t="n">
        <f aca="false">COUNTIFS('FotMob Seasons'!$A$8:$A$136,A34,'FotMob Seasons'!$H$8:$H$136,"Yes")</f>
        <v>4</v>
      </c>
      <c r="V34" s="18" t="n">
        <f aca="false">IFERROR(T34/U34,"")</f>
        <v>0.25</v>
      </c>
      <c r="W34" s="18" t="str">
        <f aca="false">IFERROR(V34/G34,"")</f>
        <v/>
      </c>
      <c r="X34" s="19"/>
      <c r="Y34" s="19"/>
      <c r="Z34" s="19"/>
      <c r="AA34" s="19"/>
      <c r="AB34" s="19"/>
      <c r="AC34" s="19"/>
      <c r="AD34" s="19"/>
      <c r="AE34" s="19"/>
      <c r="AF34" s="20" t="str">
        <f aca="false">IFERROR(AVERAGEIFS('FotMob Seasons'!$G$8:$G$136,'FotMob Seasons'!$A$8:$A$136,A34,'FotMob Seasons'!$H$8:$H$136,"Yes"),"")</f>
        <v/>
      </c>
      <c r="AG34" s="10" t="s">
        <v>125</v>
      </c>
      <c r="AH34" s="21" t="s">
        <v>85</v>
      </c>
      <c r="AI34" s="21" t="s">
        <v>128</v>
      </c>
      <c r="AJ34" s="21" t="s">
        <v>153</v>
      </c>
    </row>
    <row r="35" customFormat="false" ht="24" hidden="false" customHeight="true" outlineLevel="0" collapsed="false">
      <c r="A35" s="10" t="s">
        <v>154</v>
      </c>
      <c r="B35" s="10" t="s">
        <v>70</v>
      </c>
      <c r="C35" s="11" t="n">
        <v>22</v>
      </c>
      <c r="D35" s="10" t="s">
        <v>155</v>
      </c>
      <c r="E35" s="10"/>
      <c r="F35" s="10" t="s">
        <v>54</v>
      </c>
      <c r="G35" s="12" t="n">
        <v>22.6</v>
      </c>
      <c r="H35" s="10" t="s">
        <v>156</v>
      </c>
      <c r="I35" s="10" t="s">
        <v>134</v>
      </c>
      <c r="J35" s="10" t="s">
        <v>157</v>
      </c>
      <c r="K35" s="13" t="s">
        <v>124</v>
      </c>
      <c r="L35" s="14" t="n">
        <v>10</v>
      </c>
      <c r="M35" s="14"/>
      <c r="N35" s="15" t="str">
        <f aca="false">IF(A35="","",IF(LEFT(K35,15)="Still at Palace","Current market value","Sale fee"))</f>
        <v>Current market value</v>
      </c>
      <c r="O35" s="15" t="n">
        <f aca="false">IF(K35="Sold",M35,IF(OR(K35="Still at Palace",K35="Still at Palace (on loan)"),L35,0))</f>
        <v>10</v>
      </c>
      <c r="P35" s="15" t="str">
        <f aca="false">IF(Q35&gt;0,"Gain",IF(Q35&lt;0,"Loss","Neutral"))</f>
        <v>Loss</v>
      </c>
      <c r="Q35" s="15" t="n">
        <f aca="false">O35-G35</f>
        <v>-12.6</v>
      </c>
      <c r="R35" s="16" t="n">
        <f aca="false">IFERROR(Q35/G35,"")</f>
        <v>-0.557522123893805</v>
      </c>
      <c r="S35" s="14" t="n">
        <v>15</v>
      </c>
      <c r="T35" s="17" t="n">
        <f aca="false">SUMIFS('FotMob Seasons'!$F$8:$F$136,'FotMob Seasons'!$A$8:$A$136,A35,'FotMob Seasons'!$H$8:$H$136,"Yes")</f>
        <v>4211</v>
      </c>
      <c r="U35" s="17" t="n">
        <f aca="false">COUNTIFS('FotMob Seasons'!$A$8:$A$136,A35,'FotMob Seasons'!$H$8:$H$136,"Yes")</f>
        <v>4</v>
      </c>
      <c r="V35" s="18" t="n">
        <f aca="false">IFERROR(T35/U35,"")</f>
        <v>1052.75</v>
      </c>
      <c r="W35" s="18" t="n">
        <f aca="false">IFERROR(V35/G35,"")</f>
        <v>46.5818584070796</v>
      </c>
      <c r="X35" s="19" t="n">
        <v>7.12</v>
      </c>
      <c r="Y35" s="19"/>
      <c r="Z35" s="19"/>
      <c r="AA35" s="19"/>
      <c r="AB35" s="19"/>
      <c r="AC35" s="19"/>
      <c r="AD35" s="19"/>
      <c r="AE35" s="19"/>
      <c r="AF35" s="20" t="n">
        <f aca="false">IFERROR(AVERAGEIFS('FotMob Seasons'!$G$8:$G$136,'FotMob Seasons'!$A$8:$A$136,A35,'FotMob Seasons'!$H$8:$H$136,"Yes"),"")</f>
        <v>6.97666666666667</v>
      </c>
      <c r="AG35" s="10" t="s">
        <v>125</v>
      </c>
      <c r="AH35" s="21" t="s">
        <v>60</v>
      </c>
      <c r="AI35" s="21" t="s">
        <v>128</v>
      </c>
      <c r="AJ35" s="21" t="s">
        <v>158</v>
      </c>
    </row>
    <row r="36" customFormat="false" ht="24" hidden="false" customHeight="true" outlineLevel="0" collapsed="false">
      <c r="A36" s="10" t="s">
        <v>159</v>
      </c>
      <c r="B36" s="10" t="s">
        <v>52</v>
      </c>
      <c r="C36" s="11" t="n">
        <v>22</v>
      </c>
      <c r="D36" s="10" t="s">
        <v>155</v>
      </c>
      <c r="E36" s="10"/>
      <c r="F36" s="10" t="s">
        <v>54</v>
      </c>
      <c r="G36" s="12" t="n">
        <v>12</v>
      </c>
      <c r="H36" s="10" t="s">
        <v>160</v>
      </c>
      <c r="I36" s="10" t="s">
        <v>92</v>
      </c>
      <c r="J36" s="10" t="s">
        <v>161</v>
      </c>
      <c r="K36" s="13" t="s">
        <v>124</v>
      </c>
      <c r="L36" s="14" t="n">
        <v>28</v>
      </c>
      <c r="M36" s="14"/>
      <c r="N36" s="15" t="str">
        <f aca="false">IF(A36="","",IF(LEFT(K36,15)="Still at Palace","Current market value","Sale fee"))</f>
        <v>Current market value</v>
      </c>
      <c r="O36" s="15" t="n">
        <f aca="false">IF(K36="Sold",M36,IF(OR(K36="Still at Palace",K36="Still at Palace (on loan)"),L36,0))</f>
        <v>28</v>
      </c>
      <c r="P36" s="15" t="str">
        <f aca="false">IF(Q36&gt;0,"Gain",IF(Q36&lt;0,"Loss","Neutral"))</f>
        <v>Gain</v>
      </c>
      <c r="Q36" s="15" t="n">
        <f aca="false">O36-G36</f>
        <v>16</v>
      </c>
      <c r="R36" s="16" t="n">
        <f aca="false">IFERROR(Q36/G36,"")</f>
        <v>1.33333333333333</v>
      </c>
      <c r="S36" s="14" t="n">
        <v>7.5</v>
      </c>
      <c r="T36" s="17" t="n">
        <f aca="false">SUMIFS('FotMob Seasons'!$F$8:$F$136,'FotMob Seasons'!$A$8:$A$136,A36,'FotMob Seasons'!$H$8:$H$136,"Yes")</f>
        <v>7284</v>
      </c>
      <c r="U36" s="17" t="n">
        <f aca="false">COUNTIFS('FotMob Seasons'!$A$8:$A$136,A36,'FotMob Seasons'!$H$8:$H$136,"Yes")</f>
        <v>4</v>
      </c>
      <c r="V36" s="18" t="n">
        <f aca="false">IFERROR(T36/U36,"")</f>
        <v>1821</v>
      </c>
      <c r="W36" s="18" t="n">
        <f aca="false">IFERROR(V36/G36,"")</f>
        <v>151.75</v>
      </c>
      <c r="X36" s="19" t="n">
        <v>6.84</v>
      </c>
      <c r="Y36" s="19" t="n">
        <v>6.68</v>
      </c>
      <c r="Z36" s="19" t="n">
        <v>6.87</v>
      </c>
      <c r="AA36" s="19"/>
      <c r="AB36" s="19"/>
      <c r="AC36" s="19"/>
      <c r="AD36" s="19"/>
      <c r="AE36" s="19"/>
      <c r="AF36" s="20" t="n">
        <f aca="false">IFERROR(AVERAGEIFS('FotMob Seasons'!$G$8:$G$136,'FotMob Seasons'!$A$8:$A$136,A36,'FotMob Seasons'!$H$8:$H$136,"Yes"),"")</f>
        <v>6.7725</v>
      </c>
      <c r="AG36" s="10" t="s">
        <v>125</v>
      </c>
      <c r="AH36" s="21" t="s">
        <v>60</v>
      </c>
      <c r="AI36" s="21" t="s">
        <v>128</v>
      </c>
      <c r="AJ36" s="21" t="s">
        <v>136</v>
      </c>
    </row>
    <row r="37" customFormat="false" ht="24" hidden="false" customHeight="true" outlineLevel="0" collapsed="false">
      <c r="A37" s="10" t="s">
        <v>162</v>
      </c>
      <c r="B37" s="10" t="s">
        <v>70</v>
      </c>
      <c r="C37" s="11" t="n">
        <v>20</v>
      </c>
      <c r="D37" s="10" t="s">
        <v>155</v>
      </c>
      <c r="E37" s="10"/>
      <c r="F37" s="10" t="s">
        <v>54</v>
      </c>
      <c r="G37" s="12" t="n">
        <v>12</v>
      </c>
      <c r="H37" s="10" t="s">
        <v>163</v>
      </c>
      <c r="I37" s="10" t="s">
        <v>92</v>
      </c>
      <c r="J37" s="10" t="s">
        <v>164</v>
      </c>
      <c r="K37" s="13" t="s">
        <v>58</v>
      </c>
      <c r="L37" s="14"/>
      <c r="M37" s="14" t="n">
        <v>0</v>
      </c>
      <c r="N37" s="15" t="str">
        <f aca="false">IF(A37="","",IF(LEFT(K37,15)="Still at Palace","Current market value","Sale fee"))</f>
        <v>Sale fee</v>
      </c>
      <c r="O37" s="15" t="n">
        <f aca="false">IF(K37="Sold",M37,IF(OR(K37="Still at Palace",K37="Still at Palace (on loan)"),L37,0))</f>
        <v>0</v>
      </c>
      <c r="P37" s="15" t="str">
        <f aca="false">IF(Q37&gt;0,"Gain",IF(Q37&lt;0,"Loss","Neutral"))</f>
        <v>Loss</v>
      </c>
      <c r="Q37" s="15" t="n">
        <f aca="false">O37-G37</f>
        <v>-12</v>
      </c>
      <c r="R37" s="16" t="n">
        <f aca="false">IFERROR(Q37/G37,"")</f>
        <v>-1</v>
      </c>
      <c r="S37" s="14" t="n">
        <v>5.5</v>
      </c>
      <c r="T37" s="17" t="n">
        <f aca="false">SUMIFS('FotMob Seasons'!$F$8:$F$136,'FotMob Seasons'!$A$8:$A$136,A37,'FotMob Seasons'!$H$8:$H$136,"Yes")</f>
        <v>419</v>
      </c>
      <c r="U37" s="17" t="n">
        <f aca="false">COUNTIFS('FotMob Seasons'!$A$8:$A$136,A37,'FotMob Seasons'!$H$8:$H$136,"Yes")</f>
        <v>2</v>
      </c>
      <c r="V37" s="18" t="n">
        <f aca="false">IFERROR(T37/U37,"")</f>
        <v>209.5</v>
      </c>
      <c r="W37" s="18" t="n">
        <f aca="false">IFERROR(V37/G37,"")</f>
        <v>17.4583333333333</v>
      </c>
      <c r="X37" s="19"/>
      <c r="Y37" s="19"/>
      <c r="Z37" s="19"/>
      <c r="AA37" s="19"/>
      <c r="AB37" s="19"/>
      <c r="AC37" s="19"/>
      <c r="AD37" s="19"/>
      <c r="AE37" s="19"/>
      <c r="AF37" s="20" t="n">
        <f aca="false">IFERROR(AVERAGEIFS('FotMob Seasons'!$G$8:$G$136,'FotMob Seasons'!$A$8:$A$136,A37,'FotMob Seasons'!$H$8:$H$136,"Yes"),"")</f>
        <v>6.18</v>
      </c>
      <c r="AG37" s="10" t="s">
        <v>119</v>
      </c>
      <c r="AH37" s="21" t="s">
        <v>60</v>
      </c>
      <c r="AI37" s="21" t="s">
        <v>128</v>
      </c>
      <c r="AJ37" s="21" t="s">
        <v>158</v>
      </c>
    </row>
    <row r="38" customFormat="false" ht="24" hidden="false" customHeight="true" outlineLevel="0" collapsed="false">
      <c r="A38" s="10" t="s">
        <v>165</v>
      </c>
      <c r="B38" s="10" t="s">
        <v>81</v>
      </c>
      <c r="C38" s="11" t="n">
        <v>29</v>
      </c>
      <c r="D38" s="10" t="s">
        <v>155</v>
      </c>
      <c r="E38" s="10"/>
      <c r="F38" s="10" t="s">
        <v>82</v>
      </c>
      <c r="G38" s="12" t="n">
        <v>0</v>
      </c>
      <c r="H38" s="10" t="s">
        <v>95</v>
      </c>
      <c r="I38" s="10" t="s">
        <v>96</v>
      </c>
      <c r="J38" s="10" t="s">
        <v>111</v>
      </c>
      <c r="K38" s="13" t="s">
        <v>68</v>
      </c>
      <c r="L38" s="14"/>
      <c r="M38" s="14" t="n">
        <v>11.9</v>
      </c>
      <c r="N38" s="15" t="str">
        <f aca="false">IF(A38="","",IF(LEFT(K38,15)="Still at Palace","Current market value","Sale fee"))</f>
        <v>Sale fee</v>
      </c>
      <c r="O38" s="15" t="n">
        <f aca="false">IF(K38="Sold",M38,IF(OR(K38="Still at Palace",K38="Still at Palace (on loan)"),L38,0))</f>
        <v>11.9</v>
      </c>
      <c r="P38" s="15" t="str">
        <f aca="false">IF(Q38&gt;0,"Gain",IF(Q38&lt;0,"Loss","Neutral"))</f>
        <v>Gain</v>
      </c>
      <c r="Q38" s="15" t="n">
        <f aca="false">O38-G38</f>
        <v>11.9</v>
      </c>
      <c r="R38" s="16" t="str">
        <f aca="false">IFERROR(Q38/G38,"")</f>
        <v/>
      </c>
      <c r="S38" s="14" t="n">
        <v>12</v>
      </c>
      <c r="T38" s="17" t="n">
        <f aca="false">SUMIFS('FotMob Seasons'!$F$8:$F$136,'FotMob Seasons'!$A$8:$A$136,A38,'FotMob Seasons'!$H$8:$H$136,"Yes")</f>
        <v>29</v>
      </c>
      <c r="U38" s="17" t="n">
        <f aca="false">COUNTIFS('FotMob Seasons'!$A$8:$A$136,A38,'FotMob Seasons'!$H$8:$H$136,"Yes")</f>
        <v>2</v>
      </c>
      <c r="V38" s="18" t="n">
        <f aca="false">IFERROR(T38/U38,"")</f>
        <v>14.5</v>
      </c>
      <c r="W38" s="18" t="str">
        <f aca="false">IFERROR(V38/G38,"")</f>
        <v/>
      </c>
      <c r="X38" s="19" t="n">
        <v>6.56</v>
      </c>
      <c r="Y38" s="19"/>
      <c r="Z38" s="19"/>
      <c r="AA38" s="19"/>
      <c r="AB38" s="19"/>
      <c r="AC38" s="19"/>
      <c r="AD38" s="19"/>
      <c r="AE38" s="19"/>
      <c r="AF38" s="20" t="n">
        <f aca="false">IFERROR(AVERAGEIFS('FotMob Seasons'!$G$8:$G$136,'FotMob Seasons'!$A$8:$A$136,A38,'FotMob Seasons'!$H$8:$H$136,"Yes"),"")</f>
        <v>6.56</v>
      </c>
      <c r="AG38" s="10" t="s">
        <v>74</v>
      </c>
      <c r="AH38" s="21" t="s">
        <v>85</v>
      </c>
      <c r="AI38" s="21" t="s">
        <v>128</v>
      </c>
      <c r="AJ38" s="21" t="s">
        <v>153</v>
      </c>
    </row>
    <row r="39" customFormat="false" ht="24" hidden="false" customHeight="true" outlineLevel="0" collapsed="false">
      <c r="A39" s="10" t="s">
        <v>166</v>
      </c>
      <c r="B39" s="10" t="s">
        <v>64</v>
      </c>
      <c r="C39" s="11" t="n">
        <v>18</v>
      </c>
      <c r="D39" s="10" t="s">
        <v>155</v>
      </c>
      <c r="E39" s="10"/>
      <c r="F39" s="10" t="s">
        <v>82</v>
      </c>
      <c r="G39" s="12" t="n">
        <v>0</v>
      </c>
      <c r="H39" s="10" t="s">
        <v>167</v>
      </c>
      <c r="I39" s="10" t="s">
        <v>152</v>
      </c>
      <c r="J39" s="10" t="s">
        <v>168</v>
      </c>
      <c r="K39" s="13" t="s">
        <v>68</v>
      </c>
      <c r="L39" s="14"/>
      <c r="M39" s="14" t="n">
        <v>1.15</v>
      </c>
      <c r="N39" s="15" t="str">
        <f aca="false">IF(A39="","",IF(LEFT(K39,15)="Still at Palace","Current market value","Sale fee"))</f>
        <v>Sale fee</v>
      </c>
      <c r="O39" s="15" t="n">
        <f aca="false">IF(K39="Sold",M39,IF(OR(K39="Still at Palace",K39="Still at Palace (on loan)"),L39,0))</f>
        <v>1.15</v>
      </c>
      <c r="P39" s="15" t="str">
        <f aca="false">IF(Q39&gt;0,"Gain",IF(Q39&lt;0,"Loss","Neutral"))</f>
        <v>Gain</v>
      </c>
      <c r="Q39" s="15" t="n">
        <f aca="false">O39-G39</f>
        <v>1.15</v>
      </c>
      <c r="R39" s="16" t="str">
        <f aca="false">IFERROR(Q39/G39,"")</f>
        <v/>
      </c>
      <c r="S39" s="14" t="n">
        <v>1</v>
      </c>
      <c r="T39" s="17" t="n">
        <f aca="false">SUMIFS('FotMob Seasons'!$F$8:$F$136,'FotMob Seasons'!$A$8:$A$136,A39,'FotMob Seasons'!$H$8:$H$136,"Yes")</f>
        <v>31</v>
      </c>
      <c r="U39" s="17" t="n">
        <f aca="false">COUNTIFS('FotMob Seasons'!$A$8:$A$136,A39,'FotMob Seasons'!$H$8:$H$136,"Yes")</f>
        <v>1</v>
      </c>
      <c r="V39" s="18" t="n">
        <f aca="false">IFERROR(T39/U39,"")</f>
        <v>31</v>
      </c>
      <c r="W39" s="18" t="str">
        <f aca="false">IFERROR(V39/G39,"")</f>
        <v/>
      </c>
      <c r="X39" s="19"/>
      <c r="Y39" s="19"/>
      <c r="Z39" s="19"/>
      <c r="AA39" s="19"/>
      <c r="AB39" s="19"/>
      <c r="AC39" s="19"/>
      <c r="AD39" s="19"/>
      <c r="AE39" s="19"/>
      <c r="AF39" s="20" t="str">
        <f aca="false">IFERROR(AVERAGEIFS('FotMob Seasons'!$G$8:$G$136,'FotMob Seasons'!$A$8:$A$136,A39,'FotMob Seasons'!$H$8:$H$136,"Yes"),"")</f>
        <v/>
      </c>
      <c r="AG39" s="10" t="s">
        <v>119</v>
      </c>
      <c r="AH39" s="21" t="s">
        <v>60</v>
      </c>
      <c r="AI39" s="21" t="s">
        <v>128</v>
      </c>
      <c r="AJ39" s="21" t="s">
        <v>158</v>
      </c>
    </row>
    <row r="40" customFormat="false" ht="24" hidden="false" customHeight="true" outlineLevel="0" collapsed="false">
      <c r="A40" s="10" t="s">
        <v>169</v>
      </c>
      <c r="B40" s="10" t="s">
        <v>70</v>
      </c>
      <c r="C40" s="11" t="n">
        <v>19</v>
      </c>
      <c r="D40" s="10" t="s">
        <v>170</v>
      </c>
      <c r="E40" s="10"/>
      <c r="F40" s="10" t="s">
        <v>54</v>
      </c>
      <c r="G40" s="12" t="n">
        <v>21.1</v>
      </c>
      <c r="H40" s="10" t="s">
        <v>171</v>
      </c>
      <c r="I40" s="10" t="s">
        <v>96</v>
      </c>
      <c r="J40" s="10" t="s">
        <v>111</v>
      </c>
      <c r="K40" s="13" t="s">
        <v>124</v>
      </c>
      <c r="L40" s="14" t="n">
        <v>70</v>
      </c>
      <c r="M40" s="14"/>
      <c r="N40" s="15" t="str">
        <f aca="false">IF(A40="","",IF(LEFT(K40,15)="Still at Palace","Current market value","Sale fee"))</f>
        <v>Current market value</v>
      </c>
      <c r="O40" s="15" t="n">
        <f aca="false">IF(K40="Sold",M40,IF(OR(K40="Still at Palace",K40="Still at Palace (on loan)"),L40,0))</f>
        <v>70</v>
      </c>
      <c r="P40" s="15" t="str">
        <f aca="false">IF(Q40&gt;0,"Gain",IF(Q40&lt;0,"Loss","Neutral"))</f>
        <v>Gain</v>
      </c>
      <c r="Q40" s="15" t="n">
        <f aca="false">O40-G40</f>
        <v>48.9</v>
      </c>
      <c r="R40" s="16" t="n">
        <f aca="false">IFERROR(Q40/G40,"")</f>
        <v>2.3175355450237</v>
      </c>
      <c r="S40" s="14" t="n">
        <v>10</v>
      </c>
      <c r="T40" s="17" t="n">
        <f aca="false">SUMIFS('FotMob Seasons'!$F$8:$F$136,'FotMob Seasons'!$A$8:$A$136,A40,'FotMob Seasons'!$H$8:$H$136,"Yes")</f>
        <v>5193</v>
      </c>
      <c r="U40" s="17" t="n">
        <f aca="false">COUNTIFS('FotMob Seasons'!$A$8:$A$136,A40,'FotMob Seasons'!$H$8:$H$136,"Yes")</f>
        <v>3</v>
      </c>
      <c r="V40" s="18" t="n">
        <f aca="false">IFERROR(T40/U40,"")</f>
        <v>1731</v>
      </c>
      <c r="W40" s="18" t="n">
        <f aca="false">IFERROR(V40/G40,"")</f>
        <v>82.0379146919431</v>
      </c>
      <c r="X40" s="19" t="n">
        <v>7.01</v>
      </c>
      <c r="Y40" s="19"/>
      <c r="Z40" s="19"/>
      <c r="AA40" s="19"/>
      <c r="AB40" s="19"/>
      <c r="AC40" s="19"/>
      <c r="AD40" s="19"/>
      <c r="AE40" s="19"/>
      <c r="AF40" s="20" t="n">
        <f aca="false">IFERROR(AVERAGEIFS('FotMob Seasons'!$G$8:$G$136,'FotMob Seasons'!$A$8:$A$136,A40,'FotMob Seasons'!$H$8:$H$136,"Yes"),"")</f>
        <v>7.06</v>
      </c>
      <c r="AG40" s="10" t="s">
        <v>125</v>
      </c>
      <c r="AH40" s="21" t="s">
        <v>60</v>
      </c>
      <c r="AI40" s="21" t="s">
        <v>128</v>
      </c>
      <c r="AJ40" s="21" t="s">
        <v>136</v>
      </c>
    </row>
    <row r="41" customFormat="false" ht="24" hidden="false" customHeight="true" outlineLevel="0" collapsed="false">
      <c r="A41" s="10" t="s">
        <v>172</v>
      </c>
      <c r="B41" s="10" t="s">
        <v>70</v>
      </c>
      <c r="C41" s="11" t="n">
        <v>19</v>
      </c>
      <c r="D41" s="10" t="s">
        <v>170</v>
      </c>
      <c r="E41" s="10"/>
      <c r="F41" s="10" t="s">
        <v>54</v>
      </c>
      <c r="G41" s="12" t="n">
        <v>20</v>
      </c>
      <c r="H41" s="10" t="s">
        <v>173</v>
      </c>
      <c r="I41" s="10" t="s">
        <v>174</v>
      </c>
      <c r="J41" s="10" t="s">
        <v>175</v>
      </c>
      <c r="K41" s="13" t="s">
        <v>176</v>
      </c>
      <c r="L41" s="14" t="n">
        <v>6</v>
      </c>
      <c r="M41" s="14"/>
      <c r="N41" s="15" t="str">
        <f aca="false">IF(A41="","",IF(LEFT(K41,15)="Still at Palace","Current market value","Sale fee"))</f>
        <v>Current market value</v>
      </c>
      <c r="O41" s="15" t="n">
        <f aca="false">IF(K41="Sold",M41,IF(OR(K41="Still at Palace",K41="Still at Palace (on loan)"),L41,0))</f>
        <v>6</v>
      </c>
      <c r="P41" s="15" t="str">
        <f aca="false">IF(Q41&gt;0,"Gain",IF(Q41&lt;0,"Loss","Neutral"))</f>
        <v>Loss</v>
      </c>
      <c r="Q41" s="15" t="n">
        <f aca="false">O41-G41</f>
        <v>-14</v>
      </c>
      <c r="R41" s="16" t="n">
        <f aca="false">IFERROR(Q41/G41,"")</f>
        <v>-0.7</v>
      </c>
      <c r="S41" s="14" t="n">
        <v>9</v>
      </c>
      <c r="T41" s="17" t="n">
        <f aca="false">SUMIFS('FotMob Seasons'!$F$8:$F$136,'FotMob Seasons'!$A$8:$A$136,A41,'FotMob Seasons'!$H$8:$H$136,"Yes")</f>
        <v>276</v>
      </c>
      <c r="U41" s="17" t="n">
        <f aca="false">COUNTIFS('FotMob Seasons'!$A$8:$A$136,A41,'FotMob Seasons'!$H$8:$H$136,"Yes")</f>
        <v>2</v>
      </c>
      <c r="V41" s="18" t="n">
        <f aca="false">IFERROR(T41/U41,"")</f>
        <v>138</v>
      </c>
      <c r="W41" s="18" t="n">
        <f aca="false">IFERROR(V41/G41,"")</f>
        <v>6.9</v>
      </c>
      <c r="X41" s="19"/>
      <c r="Y41" s="19"/>
      <c r="Z41" s="19"/>
      <c r="AA41" s="19"/>
      <c r="AB41" s="19"/>
      <c r="AC41" s="19"/>
      <c r="AD41" s="19"/>
      <c r="AE41" s="19"/>
      <c r="AF41" s="20" t="n">
        <f aca="false">IFERROR(AVERAGEIFS('FotMob Seasons'!$G$8:$G$136,'FotMob Seasons'!$A$8:$A$136,A41,'FotMob Seasons'!$H$8:$H$136,"Yes"),"")</f>
        <v>6.34</v>
      </c>
      <c r="AG41" s="10" t="s">
        <v>125</v>
      </c>
      <c r="AH41" s="21" t="s">
        <v>60</v>
      </c>
      <c r="AI41" s="21" t="s">
        <v>128</v>
      </c>
      <c r="AJ41" s="21" t="s">
        <v>158</v>
      </c>
    </row>
    <row r="42" customFormat="false" ht="24" hidden="false" customHeight="true" outlineLevel="0" collapsed="false">
      <c r="A42" s="10" t="s">
        <v>177</v>
      </c>
      <c r="B42" s="10" t="s">
        <v>81</v>
      </c>
      <c r="C42" s="11" t="n">
        <v>26</v>
      </c>
      <c r="D42" s="10" t="s">
        <v>170</v>
      </c>
      <c r="E42" s="10"/>
      <c r="F42" s="10" t="s">
        <v>54</v>
      </c>
      <c r="G42" s="12" t="n">
        <v>17.5</v>
      </c>
      <c r="H42" s="10" t="s">
        <v>178</v>
      </c>
      <c r="I42" s="10" t="s">
        <v>56</v>
      </c>
      <c r="J42" s="10" t="s">
        <v>111</v>
      </c>
      <c r="K42" s="13" t="s">
        <v>124</v>
      </c>
      <c r="L42" s="14" t="n">
        <v>28</v>
      </c>
      <c r="M42" s="14"/>
      <c r="N42" s="15" t="str">
        <f aca="false">IF(A42="","",IF(LEFT(K42,15)="Still at Palace","Current market value","Sale fee"))</f>
        <v>Current market value</v>
      </c>
      <c r="O42" s="15" t="n">
        <f aca="false">IF(K42="Sold",M42,IF(OR(K42="Still at Palace",K42="Still at Palace (on loan)"),L42,0))</f>
        <v>28</v>
      </c>
      <c r="P42" s="15" t="str">
        <f aca="false">IF(Q42&gt;0,"Gain",IF(Q42&lt;0,"Loss","Neutral"))</f>
        <v>Gain</v>
      </c>
      <c r="Q42" s="15" t="n">
        <f aca="false">O42-G42</f>
        <v>10.5</v>
      </c>
      <c r="R42" s="16" t="n">
        <f aca="false">IFERROR(Q42/G42,"")</f>
        <v>0.6</v>
      </c>
      <c r="S42" s="14" t="n">
        <v>18</v>
      </c>
      <c r="T42" s="17" t="n">
        <f aca="false">SUMIFS('FotMob Seasons'!$F$8:$F$136,'FotMob Seasons'!$A$8:$A$136,A42,'FotMob Seasons'!$H$8:$H$136,"Yes")</f>
        <v>93</v>
      </c>
      <c r="U42" s="17" t="n">
        <f aca="false">COUNTIFS('FotMob Seasons'!$A$8:$A$136,A42,'FotMob Seasons'!$H$8:$H$136,"Yes")</f>
        <v>3</v>
      </c>
      <c r="V42" s="18" t="n">
        <f aca="false">IFERROR(T42/U42,"")</f>
        <v>31</v>
      </c>
      <c r="W42" s="18" t="n">
        <f aca="false">IFERROR(V42/G42,"")</f>
        <v>1.77142857142857</v>
      </c>
      <c r="X42" s="19" t="n">
        <v>7.03</v>
      </c>
      <c r="Y42" s="19" t="n">
        <v>7.01</v>
      </c>
      <c r="Z42" s="19"/>
      <c r="AA42" s="19"/>
      <c r="AB42" s="19"/>
      <c r="AC42" s="19"/>
      <c r="AD42" s="19"/>
      <c r="AE42" s="19"/>
      <c r="AF42" s="20" t="n">
        <f aca="false">IFERROR(AVERAGEIFS('FotMob Seasons'!$G$8:$G$136,'FotMob Seasons'!$A$8:$A$136,A42,'FotMob Seasons'!$H$8:$H$136,"Yes"),"")</f>
        <v>7.02</v>
      </c>
      <c r="AG42" s="10" t="s">
        <v>125</v>
      </c>
      <c r="AH42" s="21" t="s">
        <v>85</v>
      </c>
      <c r="AI42" s="21" t="s">
        <v>128</v>
      </c>
      <c r="AJ42" s="21" t="s">
        <v>136</v>
      </c>
    </row>
    <row r="43" customFormat="false" ht="24" hidden="false" customHeight="true" outlineLevel="0" collapsed="false">
      <c r="A43" s="10" t="s">
        <v>179</v>
      </c>
      <c r="B43" s="10" t="s">
        <v>52</v>
      </c>
      <c r="C43" s="11" t="n">
        <v>27</v>
      </c>
      <c r="D43" s="10" t="s">
        <v>170</v>
      </c>
      <c r="E43" s="10"/>
      <c r="F43" s="10" t="s">
        <v>54</v>
      </c>
      <c r="G43" s="12" t="n">
        <v>8</v>
      </c>
      <c r="H43" s="10" t="s">
        <v>180</v>
      </c>
      <c r="I43" s="10" t="s">
        <v>181</v>
      </c>
      <c r="J43" s="10" t="s">
        <v>182</v>
      </c>
      <c r="K43" s="13" t="s">
        <v>124</v>
      </c>
      <c r="L43" s="14" t="n">
        <v>22</v>
      </c>
      <c r="M43" s="14"/>
      <c r="N43" s="15" t="str">
        <f aca="false">IF(A43="","",IF(LEFT(K43,15)="Still at Palace","Current market value","Sale fee"))</f>
        <v>Current market value</v>
      </c>
      <c r="O43" s="15" t="n">
        <f aca="false">IF(K43="Sold",M43,IF(OR(K43="Still at Palace",K43="Still at Palace (on loan)"),L43,0))</f>
        <v>22</v>
      </c>
      <c r="P43" s="15" t="str">
        <f aca="false">IF(Q43&gt;0,"Gain",IF(Q43&lt;0,"Loss","Neutral"))</f>
        <v>Gain</v>
      </c>
      <c r="Q43" s="15" t="n">
        <f aca="false">O43-G43</f>
        <v>14</v>
      </c>
      <c r="R43" s="16" t="n">
        <f aca="false">IFERROR(Q43/G43,"")</f>
        <v>1.75</v>
      </c>
      <c r="S43" s="14" t="n">
        <v>10</v>
      </c>
      <c r="T43" s="17" t="n">
        <f aca="false">SUMIFS('FotMob Seasons'!$F$8:$F$136,'FotMob Seasons'!$A$8:$A$136,A43,'FotMob Seasons'!$H$8:$H$136,"Yes")</f>
        <v>7075</v>
      </c>
      <c r="U43" s="17" t="n">
        <f aca="false">COUNTIFS('FotMob Seasons'!$A$8:$A$136,A43,'FotMob Seasons'!$H$8:$H$136,"Yes")</f>
        <v>3</v>
      </c>
      <c r="V43" s="18" t="n">
        <f aca="false">IFERROR(T43/U43,"")</f>
        <v>2358.33333333333</v>
      </c>
      <c r="W43" s="18" t="n">
        <f aca="false">IFERROR(V43/G43,"")</f>
        <v>294.791666666667</v>
      </c>
      <c r="X43" s="19" t="n">
        <v>7.38</v>
      </c>
      <c r="Y43" s="19" t="n">
        <v>7.15</v>
      </c>
      <c r="Z43" s="19"/>
      <c r="AA43" s="19"/>
      <c r="AB43" s="19"/>
      <c r="AC43" s="19"/>
      <c r="AD43" s="19"/>
      <c r="AE43" s="19"/>
      <c r="AF43" s="20" t="n">
        <f aca="false">IFERROR(AVERAGEIFS('FotMob Seasons'!$G$8:$G$136,'FotMob Seasons'!$A$8:$A$136,A43,'FotMob Seasons'!$H$8:$H$136,"Yes"),"")</f>
        <v>7.28666666666667</v>
      </c>
      <c r="AG43" s="10" t="s">
        <v>125</v>
      </c>
      <c r="AH43" s="21" t="s">
        <v>60</v>
      </c>
      <c r="AI43" s="21" t="s">
        <v>128</v>
      </c>
      <c r="AJ43" s="21" t="s">
        <v>136</v>
      </c>
    </row>
    <row r="44" customFormat="false" ht="24" hidden="false" customHeight="true" outlineLevel="0" collapsed="false">
      <c r="A44" s="10" t="s">
        <v>183</v>
      </c>
      <c r="B44" s="10" t="s">
        <v>52</v>
      </c>
      <c r="C44" s="11" t="n">
        <v>27</v>
      </c>
      <c r="D44" s="10" t="s">
        <v>170</v>
      </c>
      <c r="E44" s="10"/>
      <c r="F44" s="10" t="s">
        <v>54</v>
      </c>
      <c r="G44" s="12" t="n">
        <v>1.2</v>
      </c>
      <c r="H44" s="10" t="s">
        <v>184</v>
      </c>
      <c r="I44" s="10" t="s">
        <v>56</v>
      </c>
      <c r="J44" s="10" t="s">
        <v>185</v>
      </c>
      <c r="K44" s="13" t="s">
        <v>58</v>
      </c>
      <c r="L44" s="14"/>
      <c r="M44" s="14" t="n">
        <v>0</v>
      </c>
      <c r="N44" s="15" t="str">
        <f aca="false">IF(A44="","",IF(LEFT(K44,15)="Still at Palace","Current market value","Sale fee"))</f>
        <v>Sale fee</v>
      </c>
      <c r="O44" s="15" t="n">
        <f aca="false">IF(K44="Sold",M44,IF(OR(K44="Still at Palace",K44="Still at Palace (on loan)"),L44,0))</f>
        <v>0</v>
      </c>
      <c r="P44" s="15" t="str">
        <f aca="false">IF(Q44&gt;0,"Gain",IF(Q44&lt;0,"Loss","Neutral"))</f>
        <v>Loss</v>
      </c>
      <c r="Q44" s="15" t="n">
        <f aca="false">O44-G44</f>
        <v>-1.2</v>
      </c>
      <c r="R44" s="16" t="n">
        <f aca="false">IFERROR(Q44/G44,"")</f>
        <v>-1</v>
      </c>
      <c r="S44" s="14" t="n">
        <v>8</v>
      </c>
      <c r="T44" s="17" t="n">
        <f aca="false">SUMIFS('FotMob Seasons'!$F$8:$F$136,'FotMob Seasons'!$A$8:$A$136,A44,'FotMob Seasons'!$H$8:$H$136,"Yes")</f>
        <v>0</v>
      </c>
      <c r="U44" s="17" t="n">
        <f aca="false">COUNTIFS('FotMob Seasons'!$A$8:$A$136,A44,'FotMob Seasons'!$H$8:$H$136,"Yes")</f>
        <v>1</v>
      </c>
      <c r="V44" s="18" t="n">
        <f aca="false">IFERROR(T44/U44,"")</f>
        <v>0</v>
      </c>
      <c r="W44" s="18" t="n">
        <f aca="false">IFERROR(V44/G44,"")</f>
        <v>0</v>
      </c>
      <c r="X44" s="19"/>
      <c r="Y44" s="19"/>
      <c r="Z44" s="19"/>
      <c r="AA44" s="19"/>
      <c r="AB44" s="19"/>
      <c r="AC44" s="19"/>
      <c r="AD44" s="19"/>
      <c r="AE44" s="19"/>
      <c r="AF44" s="20" t="str">
        <f aca="false">IFERROR(AVERAGEIFS('FotMob Seasons'!$G$8:$G$136,'FotMob Seasons'!$A$8:$A$136,A44,'FotMob Seasons'!$H$8:$H$136,"Yes"),"")</f>
        <v/>
      </c>
      <c r="AG44" s="10" t="s">
        <v>119</v>
      </c>
      <c r="AH44" s="21" t="s">
        <v>60</v>
      </c>
      <c r="AI44" s="21" t="s">
        <v>79</v>
      </c>
      <c r="AJ44" s="21" t="s">
        <v>153</v>
      </c>
    </row>
    <row r="45" customFormat="false" ht="24" hidden="false" customHeight="true" outlineLevel="0" collapsed="false">
      <c r="A45" s="10" t="s">
        <v>186</v>
      </c>
      <c r="B45" s="10" t="s">
        <v>70</v>
      </c>
      <c r="C45" s="11" t="n">
        <v>28</v>
      </c>
      <c r="D45" s="10" t="s">
        <v>170</v>
      </c>
      <c r="E45" s="10"/>
      <c r="F45" s="10" t="s">
        <v>82</v>
      </c>
      <c r="G45" s="12" t="n">
        <v>0</v>
      </c>
      <c r="H45" s="10" t="s">
        <v>187</v>
      </c>
      <c r="I45" s="10" t="s">
        <v>56</v>
      </c>
      <c r="J45" s="10" t="s">
        <v>182</v>
      </c>
      <c r="K45" s="13" t="s">
        <v>124</v>
      </c>
      <c r="L45" s="14" t="n">
        <v>6</v>
      </c>
      <c r="M45" s="14"/>
      <c r="N45" s="15" t="str">
        <f aca="false">IF(A45="","",IF(LEFT(K45,15)="Still at Palace","Current market value","Sale fee"))</f>
        <v>Current market value</v>
      </c>
      <c r="O45" s="15" t="n">
        <f aca="false">IF(K45="Sold",M45,IF(OR(K45="Still at Palace",K45="Still at Palace (on loan)"),L45,0))</f>
        <v>6</v>
      </c>
      <c r="P45" s="15" t="str">
        <f aca="false">IF(Q45&gt;0,"Gain",IF(Q45&lt;0,"Loss","Neutral"))</f>
        <v>Gain</v>
      </c>
      <c r="Q45" s="15" t="n">
        <f aca="false">O45-G45</f>
        <v>6</v>
      </c>
      <c r="R45" s="16" t="str">
        <f aca="false">IFERROR(Q45/G45,"")</f>
        <v/>
      </c>
      <c r="S45" s="14" t="n">
        <v>20</v>
      </c>
      <c r="T45" s="17" t="n">
        <f aca="false">SUMIFS('FotMob Seasons'!$F$8:$F$136,'FotMob Seasons'!$A$8:$A$136,A45,'FotMob Seasons'!$H$8:$H$136,"Yes")</f>
        <v>6403</v>
      </c>
      <c r="U45" s="17" t="n">
        <f aca="false">COUNTIFS('FotMob Seasons'!$A$8:$A$136,A45,'FotMob Seasons'!$H$8:$H$136,"Yes")</f>
        <v>3</v>
      </c>
      <c r="V45" s="18" t="n">
        <f aca="false">IFERROR(T45/U45,"")</f>
        <v>2134.33333333333</v>
      </c>
      <c r="W45" s="18" t="str">
        <f aca="false">IFERROR(V45/G45,"")</f>
        <v/>
      </c>
      <c r="X45" s="19" t="n">
        <v>7.15</v>
      </c>
      <c r="Y45" s="19" t="n">
        <v>6.77</v>
      </c>
      <c r="Z45" s="19" t="n">
        <v>6.73</v>
      </c>
      <c r="AA45" s="19"/>
      <c r="AB45" s="19"/>
      <c r="AC45" s="19"/>
      <c r="AD45" s="19"/>
      <c r="AE45" s="19"/>
      <c r="AF45" s="20" t="n">
        <f aca="false">IFERROR(AVERAGEIFS('FotMob Seasons'!$G$8:$G$136,'FotMob Seasons'!$A$8:$A$136,A45,'FotMob Seasons'!$H$8:$H$136,"Yes"),"")</f>
        <v>6.88333333333333</v>
      </c>
      <c r="AG45" s="10" t="s">
        <v>125</v>
      </c>
      <c r="AH45" s="21" t="s">
        <v>60</v>
      </c>
      <c r="AI45" s="21" t="s">
        <v>61</v>
      </c>
      <c r="AJ45" s="21" t="s">
        <v>136</v>
      </c>
    </row>
    <row r="46" customFormat="false" ht="24" hidden="false" customHeight="true" outlineLevel="0" collapsed="false">
      <c r="A46" s="10" t="s">
        <v>188</v>
      </c>
      <c r="B46" s="10" t="s">
        <v>64</v>
      </c>
      <c r="C46" s="11" t="n">
        <v>25</v>
      </c>
      <c r="D46" s="10" t="s">
        <v>189</v>
      </c>
      <c r="E46" s="10"/>
      <c r="F46" s="10" t="s">
        <v>54</v>
      </c>
      <c r="G46" s="12" t="n">
        <v>29.7</v>
      </c>
      <c r="H46" s="10" t="s">
        <v>184</v>
      </c>
      <c r="I46" s="10" t="s">
        <v>56</v>
      </c>
      <c r="J46" s="10" t="s">
        <v>190</v>
      </c>
      <c r="K46" s="13" t="s">
        <v>124</v>
      </c>
      <c r="L46" s="14" t="n">
        <v>10</v>
      </c>
      <c r="M46" s="14"/>
      <c r="N46" s="15" t="str">
        <f aca="false">IF(A46="","",IF(LEFT(K46,15)="Still at Palace","Current market value","Sale fee"))</f>
        <v>Current market value</v>
      </c>
      <c r="O46" s="15" t="n">
        <f aca="false">IF(K46="Sold",M46,IF(OR(K46="Still at Palace",K46="Still at Palace (on loan)"),L46,0))</f>
        <v>10</v>
      </c>
      <c r="P46" s="15" t="str">
        <f aca="false">IF(Q46&gt;0,"Gain",IF(Q46&lt;0,"Loss","Neutral"))</f>
        <v>Loss</v>
      </c>
      <c r="Q46" s="15" t="n">
        <f aca="false">O46-G46</f>
        <v>-19.7</v>
      </c>
      <c r="R46" s="16" t="n">
        <f aca="false">IFERROR(Q46/G46,"")</f>
        <v>-0.663299663299663</v>
      </c>
      <c r="S46" s="14" t="n">
        <v>30</v>
      </c>
      <c r="T46" s="17" t="n">
        <f aca="false">SUMIFS('FotMob Seasons'!$F$8:$F$136,'FotMob Seasons'!$A$8:$A$136,A46,'FotMob Seasons'!$H$8:$H$136,"Yes")</f>
        <v>1442</v>
      </c>
      <c r="U46" s="17" t="n">
        <f aca="false">COUNTIFS('FotMob Seasons'!$A$8:$A$136,A46,'FotMob Seasons'!$H$8:$H$136,"Yes")</f>
        <v>2</v>
      </c>
      <c r="V46" s="18" t="n">
        <f aca="false">IFERROR(T46/U46,"")</f>
        <v>721</v>
      </c>
      <c r="W46" s="18" t="n">
        <f aca="false">IFERROR(V46/G46,"")</f>
        <v>24.2760942760943</v>
      </c>
      <c r="X46" s="19" t="n">
        <v>6.45</v>
      </c>
      <c r="Y46" s="19"/>
      <c r="Z46" s="19"/>
      <c r="AA46" s="19"/>
      <c r="AB46" s="19"/>
      <c r="AC46" s="19"/>
      <c r="AD46" s="19"/>
      <c r="AE46" s="19"/>
      <c r="AF46" s="20" t="n">
        <f aca="false">IFERROR(AVERAGEIFS('FotMob Seasons'!$G$8:$G$136,'FotMob Seasons'!$A$8:$A$136,A46,'FotMob Seasons'!$H$8:$H$136,"Yes"),"")</f>
        <v>6.45</v>
      </c>
      <c r="AG46" s="10" t="s">
        <v>125</v>
      </c>
      <c r="AH46" s="21" t="s">
        <v>60</v>
      </c>
      <c r="AI46" s="21" t="s">
        <v>128</v>
      </c>
      <c r="AJ46" s="21" t="s">
        <v>136</v>
      </c>
    </row>
    <row r="47" customFormat="false" ht="24" hidden="false" customHeight="true" outlineLevel="0" collapsed="false">
      <c r="A47" s="10" t="s">
        <v>191</v>
      </c>
      <c r="B47" s="10" t="s">
        <v>52</v>
      </c>
      <c r="C47" s="11" t="n">
        <v>24</v>
      </c>
      <c r="D47" s="10" t="s">
        <v>189</v>
      </c>
      <c r="E47" s="10"/>
      <c r="F47" s="10" t="s">
        <v>54</v>
      </c>
      <c r="G47" s="12" t="n">
        <v>18</v>
      </c>
      <c r="H47" s="10" t="s">
        <v>192</v>
      </c>
      <c r="I47" s="10" t="s">
        <v>92</v>
      </c>
      <c r="J47" s="10" t="s">
        <v>193</v>
      </c>
      <c r="K47" s="13" t="s">
        <v>124</v>
      </c>
      <c r="L47" s="14" t="n">
        <v>50</v>
      </c>
      <c r="M47" s="14"/>
      <c r="N47" s="15" t="str">
        <f aca="false">IF(A47="","",IF(LEFT(K47,15)="Still at Palace","Current market value","Sale fee"))</f>
        <v>Current market value</v>
      </c>
      <c r="O47" s="15" t="n">
        <f aca="false">IF(K47="Sold",M47,IF(OR(K47="Still at Palace",K47="Still at Palace (on loan)"),L47,0))</f>
        <v>50</v>
      </c>
      <c r="P47" s="15" t="str">
        <f aca="false">IF(Q47&gt;0,"Gain",IF(Q47&lt;0,"Loss","Neutral"))</f>
        <v>Gain</v>
      </c>
      <c r="Q47" s="15" t="n">
        <f aca="false">O47-G47</f>
        <v>32</v>
      </c>
      <c r="R47" s="16" t="n">
        <f aca="false">IFERROR(Q47/G47,"")</f>
        <v>1.77777777777778</v>
      </c>
      <c r="S47" s="14" t="n">
        <v>20</v>
      </c>
      <c r="T47" s="17" t="n">
        <f aca="false">SUMIFS('FotMob Seasons'!$F$8:$F$136,'FotMob Seasons'!$A$8:$A$136,A47,'FotMob Seasons'!$H$8:$H$136,"Yes")</f>
        <v>6205</v>
      </c>
      <c r="U47" s="17" t="n">
        <f aca="false">COUNTIFS('FotMob Seasons'!$A$8:$A$136,A47,'FotMob Seasons'!$H$8:$H$136,"Yes")</f>
        <v>2</v>
      </c>
      <c r="V47" s="18" t="n">
        <f aca="false">IFERROR(T47/U47,"")</f>
        <v>3102.5</v>
      </c>
      <c r="W47" s="18" t="n">
        <f aca="false">IFERROR(V47/G47,"")</f>
        <v>172.361111111111</v>
      </c>
      <c r="X47" s="19" t="n">
        <v>6.98</v>
      </c>
      <c r="Y47" s="19" t="n">
        <v>7.04</v>
      </c>
      <c r="Z47" s="19"/>
      <c r="AA47" s="19"/>
      <c r="AB47" s="19"/>
      <c r="AC47" s="19"/>
      <c r="AD47" s="19"/>
      <c r="AE47" s="19"/>
      <c r="AF47" s="20" t="n">
        <f aca="false">IFERROR(AVERAGEIFS('FotMob Seasons'!$G$8:$G$136,'FotMob Seasons'!$A$8:$A$136,A47,'FotMob Seasons'!$H$8:$H$136,"Yes"),"")</f>
        <v>7.01</v>
      </c>
      <c r="AG47" s="10" t="s">
        <v>125</v>
      </c>
      <c r="AH47" s="21" t="s">
        <v>60</v>
      </c>
      <c r="AI47" s="21" t="s">
        <v>61</v>
      </c>
      <c r="AJ47" s="21" t="s">
        <v>136</v>
      </c>
    </row>
    <row r="48" customFormat="false" ht="24" hidden="false" customHeight="true" outlineLevel="0" collapsed="false">
      <c r="A48" s="10" t="s">
        <v>194</v>
      </c>
      <c r="B48" s="10" t="s">
        <v>64</v>
      </c>
      <c r="C48" s="11" t="n">
        <v>26</v>
      </c>
      <c r="D48" s="10" t="s">
        <v>189</v>
      </c>
      <c r="E48" s="10"/>
      <c r="F48" s="10" t="s">
        <v>54</v>
      </c>
      <c r="G48" s="12" t="n">
        <v>15</v>
      </c>
      <c r="H48" s="10" t="s">
        <v>195</v>
      </c>
      <c r="I48" s="10" t="s">
        <v>134</v>
      </c>
      <c r="J48" s="10" t="s">
        <v>196</v>
      </c>
      <c r="K48" s="13" t="s">
        <v>124</v>
      </c>
      <c r="L48" s="14" t="n">
        <v>45</v>
      </c>
      <c r="M48" s="14"/>
      <c r="N48" s="15" t="str">
        <f aca="false">IF(A48="","",IF(LEFT(K48,15)="Still at Palace","Current market value","Sale fee"))</f>
        <v>Current market value</v>
      </c>
      <c r="O48" s="15" t="n">
        <f aca="false">IF(K48="Sold",M48,IF(OR(K48="Still at Palace",K48="Still at Palace (on loan)"),L48,0))</f>
        <v>45</v>
      </c>
      <c r="P48" s="15" t="str">
        <f aca="false">IF(Q48&gt;0,"Gain",IF(Q48&lt;0,"Loss","Neutral"))</f>
        <v>Gain</v>
      </c>
      <c r="Q48" s="15" t="n">
        <f aca="false">O48-G48</f>
        <v>30</v>
      </c>
      <c r="R48" s="16" t="n">
        <f aca="false">IFERROR(Q48/G48,"")</f>
        <v>2</v>
      </c>
      <c r="S48" s="14" t="n">
        <v>18</v>
      </c>
      <c r="T48" s="17" t="n">
        <f aca="false">SUMIFS('FotMob Seasons'!$F$8:$F$136,'FotMob Seasons'!$A$8:$A$136,A48,'FotMob Seasons'!$H$8:$H$136,"Yes")</f>
        <v>4890</v>
      </c>
      <c r="U48" s="17" t="n">
        <f aca="false">COUNTIFS('FotMob Seasons'!$A$8:$A$136,A48,'FotMob Seasons'!$H$8:$H$136,"Yes")</f>
        <v>2</v>
      </c>
      <c r="V48" s="18" t="n">
        <f aca="false">IFERROR(T48/U48,"")</f>
        <v>2445</v>
      </c>
      <c r="W48" s="18" t="n">
        <f aca="false">IFERROR(V48/G48,"")</f>
        <v>163</v>
      </c>
      <c r="X48" s="19" t="n">
        <v>7.07</v>
      </c>
      <c r="Y48" s="19" t="n">
        <v>6.91</v>
      </c>
      <c r="Z48" s="19"/>
      <c r="AA48" s="19"/>
      <c r="AB48" s="19"/>
      <c r="AC48" s="19"/>
      <c r="AD48" s="19"/>
      <c r="AE48" s="19"/>
      <c r="AF48" s="20" t="n">
        <f aca="false">IFERROR(AVERAGEIFS('FotMob Seasons'!$G$8:$G$136,'FotMob Seasons'!$A$8:$A$136,A48,'FotMob Seasons'!$H$8:$H$136,"Yes"),"")</f>
        <v>6.99</v>
      </c>
      <c r="AG48" s="10" t="s">
        <v>125</v>
      </c>
      <c r="AH48" s="21" t="s">
        <v>60</v>
      </c>
      <c r="AI48" s="21" t="s">
        <v>61</v>
      </c>
      <c r="AJ48" s="21" t="s">
        <v>136</v>
      </c>
    </row>
    <row r="49" customFormat="false" ht="24" hidden="false" customHeight="true" outlineLevel="0" collapsed="false">
      <c r="A49" s="10" t="s">
        <v>197</v>
      </c>
      <c r="B49" s="10" t="s">
        <v>52</v>
      </c>
      <c r="C49" s="11" t="n">
        <v>21</v>
      </c>
      <c r="D49" s="10" t="s">
        <v>189</v>
      </c>
      <c r="E49" s="10"/>
      <c r="F49" s="10" t="s">
        <v>54</v>
      </c>
      <c r="G49" s="12" t="n">
        <v>15</v>
      </c>
      <c r="H49" s="10" t="s">
        <v>198</v>
      </c>
      <c r="I49" s="10" t="s">
        <v>100</v>
      </c>
      <c r="J49" s="10" t="s">
        <v>199</v>
      </c>
      <c r="K49" s="13" t="s">
        <v>124</v>
      </c>
      <c r="L49" s="14" t="n">
        <v>20</v>
      </c>
      <c r="M49" s="14"/>
      <c r="N49" s="15" t="str">
        <f aca="false">IF(A49="","",IF(LEFT(K49,15)="Still at Palace","Current market value","Sale fee"))</f>
        <v>Current market value</v>
      </c>
      <c r="O49" s="15" t="n">
        <f aca="false">IF(K49="Sold",M49,IF(OR(K49="Still at Palace",K49="Still at Palace (on loan)"),L49,0))</f>
        <v>20</v>
      </c>
      <c r="P49" s="15" t="str">
        <f aca="false">IF(Q49&gt;0,"Gain",IF(Q49&lt;0,"Loss","Neutral"))</f>
        <v>Gain</v>
      </c>
      <c r="Q49" s="15" t="n">
        <f aca="false">O49-G49</f>
        <v>5</v>
      </c>
      <c r="R49" s="16" t="n">
        <f aca="false">IFERROR(Q49/G49,"")</f>
        <v>0.333333333333333</v>
      </c>
      <c r="S49" s="14" t="n">
        <v>15</v>
      </c>
      <c r="T49" s="17" t="n">
        <f aca="false">SUMIFS('FotMob Seasons'!$F$8:$F$136,'FotMob Seasons'!$A$8:$A$136,A49,'FotMob Seasons'!$H$8:$H$136,"Yes")</f>
        <v>644</v>
      </c>
      <c r="U49" s="17" t="n">
        <f aca="false">COUNTIFS('FotMob Seasons'!$A$8:$A$136,A49,'FotMob Seasons'!$H$8:$H$136,"Yes")</f>
        <v>2</v>
      </c>
      <c r="V49" s="18" t="n">
        <f aca="false">IFERROR(T49/U49,"")</f>
        <v>322</v>
      </c>
      <c r="W49" s="18" t="n">
        <f aca="false">IFERROR(V49/G49,"")</f>
        <v>21.4666666666667</v>
      </c>
      <c r="X49" s="19"/>
      <c r="Y49" s="19"/>
      <c r="Z49" s="19"/>
      <c r="AA49" s="19"/>
      <c r="AB49" s="19"/>
      <c r="AC49" s="19"/>
      <c r="AD49" s="19"/>
      <c r="AE49" s="19"/>
      <c r="AF49" s="20" t="n">
        <f aca="false">IFERROR(AVERAGEIFS('FotMob Seasons'!$G$8:$G$136,'FotMob Seasons'!$A$8:$A$136,A49,'FotMob Seasons'!$H$8:$H$136,"Yes"),"")</f>
        <v>6.7</v>
      </c>
      <c r="AG49" s="10" t="s">
        <v>125</v>
      </c>
      <c r="AH49" s="21" t="s">
        <v>60</v>
      </c>
      <c r="AI49" s="21" t="s">
        <v>128</v>
      </c>
      <c r="AJ49" s="21" t="s">
        <v>136</v>
      </c>
    </row>
    <row r="50" customFormat="false" ht="24" hidden="false" customHeight="true" outlineLevel="0" collapsed="false">
      <c r="A50" s="10" t="s">
        <v>200</v>
      </c>
      <c r="B50" s="10" t="s">
        <v>64</v>
      </c>
      <c r="C50" s="11" t="n">
        <v>19</v>
      </c>
      <c r="D50" s="10" t="s">
        <v>189</v>
      </c>
      <c r="E50" s="10"/>
      <c r="F50" s="10" t="s">
        <v>54</v>
      </c>
      <c r="G50" s="12" t="n">
        <v>14.2</v>
      </c>
      <c r="H50" s="10" t="s">
        <v>201</v>
      </c>
      <c r="I50" s="10" t="s">
        <v>96</v>
      </c>
      <c r="J50" s="10" t="s">
        <v>131</v>
      </c>
      <c r="K50" s="13" t="s">
        <v>176</v>
      </c>
      <c r="L50" s="14" t="n">
        <v>10</v>
      </c>
      <c r="M50" s="14"/>
      <c r="N50" s="15" t="str">
        <f aca="false">IF(A50="","",IF(LEFT(K50,15)="Still at Palace","Current market value","Sale fee"))</f>
        <v>Current market value</v>
      </c>
      <c r="O50" s="15" t="n">
        <f aca="false">IF(K50="Sold",M50,IF(OR(K50="Still at Palace",K50="Still at Palace (on loan)"),L50,0))</f>
        <v>10</v>
      </c>
      <c r="P50" s="15" t="str">
        <f aca="false">IF(Q50&gt;0,"Gain",IF(Q50&lt;0,"Loss","Neutral"))</f>
        <v>Loss</v>
      </c>
      <c r="Q50" s="15" t="n">
        <f aca="false">O50-G50</f>
        <v>-4.2</v>
      </c>
      <c r="R50" s="16" t="n">
        <f aca="false">IFERROR(Q50/G50,"")</f>
        <v>-0.295774647887324</v>
      </c>
      <c r="S50" s="14" t="n">
        <v>5</v>
      </c>
      <c r="T50" s="17" t="n">
        <f aca="false">SUMIFS('FotMob Seasons'!$F$8:$F$136,'FotMob Seasons'!$A$8:$A$136,A50,'FotMob Seasons'!$H$8:$H$136,"Yes")</f>
        <v>135</v>
      </c>
      <c r="U50" s="17" t="n">
        <f aca="false">COUNTIFS('FotMob Seasons'!$A$8:$A$136,A50,'FotMob Seasons'!$H$8:$H$136,"Yes")</f>
        <v>1</v>
      </c>
      <c r="V50" s="18" t="n">
        <f aca="false">IFERROR(T50/U50,"")</f>
        <v>135</v>
      </c>
      <c r="W50" s="18" t="n">
        <f aca="false">IFERROR(V50/G50,"")</f>
        <v>9.50704225352113</v>
      </c>
      <c r="X50" s="19"/>
      <c r="Y50" s="19"/>
      <c r="Z50" s="19"/>
      <c r="AA50" s="19"/>
      <c r="AB50" s="19"/>
      <c r="AC50" s="19"/>
      <c r="AD50" s="19"/>
      <c r="AE50" s="19"/>
      <c r="AF50" s="20" t="n">
        <f aca="false">IFERROR(AVERAGEIFS('FotMob Seasons'!$G$8:$G$136,'FotMob Seasons'!$A$8:$A$136,A50,'FotMob Seasons'!$H$8:$H$136,"Yes"),"")</f>
        <v>6.58</v>
      </c>
      <c r="AG50" s="10" t="s">
        <v>125</v>
      </c>
      <c r="AH50" s="21" t="s">
        <v>60</v>
      </c>
      <c r="AI50" s="21" t="s">
        <v>202</v>
      </c>
      <c r="AJ50" s="21" t="s">
        <v>136</v>
      </c>
    </row>
    <row r="51" customFormat="false" ht="24" hidden="false" customHeight="true" outlineLevel="0" collapsed="false">
      <c r="A51" s="10" t="s">
        <v>203</v>
      </c>
      <c r="B51" s="10" t="s">
        <v>70</v>
      </c>
      <c r="C51" s="11" t="n">
        <v>27</v>
      </c>
      <c r="D51" s="10" t="s">
        <v>189</v>
      </c>
      <c r="E51" s="10"/>
      <c r="F51" s="10" t="s">
        <v>82</v>
      </c>
      <c r="G51" s="12" t="n">
        <v>0</v>
      </c>
      <c r="H51" s="10" t="s">
        <v>204</v>
      </c>
      <c r="I51" s="10" t="s">
        <v>205</v>
      </c>
      <c r="J51" s="10" t="s">
        <v>206</v>
      </c>
      <c r="K51" s="13" t="s">
        <v>58</v>
      </c>
      <c r="L51" s="14"/>
      <c r="M51" s="14" t="n">
        <v>0</v>
      </c>
      <c r="N51" s="15" t="str">
        <f aca="false">IF(A51="","",IF(LEFT(K51,15)="Still at Palace","Current market value","Sale fee"))</f>
        <v>Sale fee</v>
      </c>
      <c r="O51" s="15" t="n">
        <f aca="false">IF(K51="Sold",M51,IF(OR(K51="Still at Palace",K51="Still at Palace (on loan)"),L51,0))</f>
        <v>0</v>
      </c>
      <c r="P51" s="15" t="str">
        <f aca="false">IF(Q51&gt;0,"Gain",IF(Q51&lt;0,"Loss","Neutral"))</f>
        <v>Neutral</v>
      </c>
      <c r="Q51" s="15" t="n">
        <f aca="false">O51-G51</f>
        <v>0</v>
      </c>
      <c r="R51" s="16" t="str">
        <f aca="false">IFERROR(Q51/G51,"")</f>
        <v/>
      </c>
      <c r="S51" s="14" t="n">
        <v>18</v>
      </c>
      <c r="T51" s="17" t="n">
        <f aca="false">SUMIFS('FotMob Seasons'!$F$8:$F$136,'FotMob Seasons'!$A$8:$A$136,A51,'FotMob Seasons'!$H$8:$H$136,"Yes")</f>
        <v>3462</v>
      </c>
      <c r="U51" s="17" t="n">
        <f aca="false">COUNTIFS('FotMob Seasons'!$A$8:$A$136,A51,'FotMob Seasons'!$H$8:$H$136,"Yes")</f>
        <v>2</v>
      </c>
      <c r="V51" s="18" t="n">
        <f aca="false">IFERROR(T51/U51,"")</f>
        <v>1731</v>
      </c>
      <c r="W51" s="18" t="str">
        <f aca="false">IFERROR(V51/G51,"")</f>
        <v/>
      </c>
      <c r="X51" s="19" t="n">
        <v>6.55</v>
      </c>
      <c r="Y51" s="19" t="n">
        <v>6.84</v>
      </c>
      <c r="Z51" s="19"/>
      <c r="AA51" s="19"/>
      <c r="AB51" s="19"/>
      <c r="AC51" s="19"/>
      <c r="AD51" s="19"/>
      <c r="AE51" s="19"/>
      <c r="AF51" s="20" t="n">
        <f aca="false">IFERROR(AVERAGEIFS('FotMob Seasons'!$G$8:$G$136,'FotMob Seasons'!$A$8:$A$136,A51,'FotMob Seasons'!$H$8:$H$136,"Yes"),"")</f>
        <v>6.695</v>
      </c>
      <c r="AG51" s="10" t="s">
        <v>59</v>
      </c>
      <c r="AH51" s="21" t="s">
        <v>60</v>
      </c>
      <c r="AI51" s="21" t="s">
        <v>61</v>
      </c>
      <c r="AJ51" s="21" t="s">
        <v>136</v>
      </c>
    </row>
    <row r="52" customFormat="false" ht="24" hidden="false" customHeight="true" outlineLevel="0" collapsed="false">
      <c r="A52" s="10" t="s">
        <v>207</v>
      </c>
      <c r="B52" s="10" t="s">
        <v>64</v>
      </c>
      <c r="C52" s="11" t="n">
        <v>25</v>
      </c>
      <c r="D52" s="10" t="s">
        <v>208</v>
      </c>
      <c r="E52" s="10"/>
      <c r="F52" s="10" t="s">
        <v>54</v>
      </c>
      <c r="G52" s="12" t="n">
        <v>49.7</v>
      </c>
      <c r="H52" s="10" t="s">
        <v>209</v>
      </c>
      <c r="I52" s="10" t="s">
        <v>56</v>
      </c>
      <c r="J52" s="10" t="s">
        <v>67</v>
      </c>
      <c r="K52" s="13" t="s">
        <v>124</v>
      </c>
      <c r="L52" s="14" t="n">
        <v>40</v>
      </c>
      <c r="M52" s="14"/>
      <c r="N52" s="15" t="str">
        <f aca="false">IF(A52="","",IF(LEFT(K52,15)="Still at Palace","Current market value","Sale fee"))</f>
        <v>Current market value</v>
      </c>
      <c r="O52" s="15" t="n">
        <f aca="false">IF(K52="Sold",M52,IF(OR(K52="Still at Palace",K52="Still at Palace (on loan)"),L52,0))</f>
        <v>40</v>
      </c>
      <c r="P52" s="15" t="str">
        <f aca="false">IF(Q52&gt;0,"Gain",IF(Q52&lt;0,"Loss","Neutral"))</f>
        <v>Loss</v>
      </c>
      <c r="Q52" s="15" t="n">
        <f aca="false">O52-G52</f>
        <v>-9.7</v>
      </c>
      <c r="R52" s="16" t="n">
        <f aca="false">IFERROR(Q52/G52,"")</f>
        <v>-0.195171026156942</v>
      </c>
      <c r="S52" s="14" t="n">
        <v>40</v>
      </c>
      <c r="T52" s="17" t="n">
        <f aca="false">SUMIFS('FotMob Seasons'!$F$8:$F$136,'FotMob Seasons'!$A$8:$A$136,A52,'FotMob Seasons'!$H$8:$H$136,"Yes")</f>
        <v>2316</v>
      </c>
      <c r="U52" s="17" t="n">
        <f aca="false">COUNTIFS('FotMob Seasons'!$A$8:$A$136,A52,'FotMob Seasons'!$H$8:$H$136,"Yes")</f>
        <v>1</v>
      </c>
      <c r="V52" s="18" t="n">
        <f aca="false">IFERROR(T52/U52,"")</f>
        <v>2316</v>
      </c>
      <c r="W52" s="18" t="n">
        <f aca="false">IFERROR(V52/G52,"")</f>
        <v>46.5995975855131</v>
      </c>
      <c r="X52" s="19" t="n">
        <v>6.23</v>
      </c>
      <c r="Y52" s="19"/>
      <c r="Z52" s="19"/>
      <c r="AA52" s="19"/>
      <c r="AB52" s="19"/>
      <c r="AC52" s="19"/>
      <c r="AD52" s="19"/>
      <c r="AE52" s="19"/>
      <c r="AF52" s="20" t="n">
        <f aca="false">IFERROR(AVERAGEIFS('FotMob Seasons'!$G$8:$G$136,'FotMob Seasons'!$A$8:$A$136,A52,'FotMob Seasons'!$H$8:$H$136,"Yes"),"")</f>
        <v>6.23</v>
      </c>
      <c r="AG52" s="10" t="s">
        <v>125</v>
      </c>
      <c r="AH52" s="21" t="s">
        <v>60</v>
      </c>
      <c r="AI52" s="21" t="s">
        <v>61</v>
      </c>
      <c r="AJ52" s="21" t="s">
        <v>136</v>
      </c>
    </row>
    <row r="53" customFormat="false" ht="24" hidden="false" customHeight="true" outlineLevel="0" collapsed="false">
      <c r="A53" s="10" t="s">
        <v>210</v>
      </c>
      <c r="B53" s="10" t="s">
        <v>64</v>
      </c>
      <c r="C53" s="11" t="n">
        <v>24</v>
      </c>
      <c r="D53" s="10" t="s">
        <v>208</v>
      </c>
      <c r="E53" s="10"/>
      <c r="F53" s="10" t="s">
        <v>54</v>
      </c>
      <c r="G53" s="12" t="n">
        <v>40</v>
      </c>
      <c r="H53" s="10" t="s">
        <v>211</v>
      </c>
      <c r="I53" s="10" t="s">
        <v>56</v>
      </c>
      <c r="J53" s="10" t="s">
        <v>212</v>
      </c>
      <c r="K53" s="13" t="s">
        <v>124</v>
      </c>
      <c r="L53" s="14" t="n">
        <v>30</v>
      </c>
      <c r="M53" s="14"/>
      <c r="N53" s="15" t="str">
        <f aca="false">IF(A53="","",IF(LEFT(K53,15)="Still at Palace","Current market value","Sale fee"))</f>
        <v>Current market value</v>
      </c>
      <c r="O53" s="15" t="n">
        <f aca="false">IF(K53="Sold",M53,IF(OR(K53="Still at Palace",K53="Still at Palace (on loan)"),L53,0))</f>
        <v>30</v>
      </c>
      <c r="P53" s="15" t="str">
        <f aca="false">IF(Q53&gt;0,"Gain",IF(Q53&lt;0,"Loss","Neutral"))</f>
        <v>Loss</v>
      </c>
      <c r="Q53" s="15" t="n">
        <f aca="false">O53-G53</f>
        <v>-10</v>
      </c>
      <c r="R53" s="16" t="n">
        <f aca="false">IFERROR(Q53/G53,"")</f>
        <v>-0.25</v>
      </c>
      <c r="S53" s="14" t="n">
        <v>35</v>
      </c>
      <c r="T53" s="17" t="n">
        <f aca="false">SUMIFS('FotMob Seasons'!$F$8:$F$136,'FotMob Seasons'!$A$8:$A$136,A53,'FotMob Seasons'!$H$8:$H$136,"Yes")</f>
        <v>1722</v>
      </c>
      <c r="U53" s="17" t="n">
        <f aca="false">COUNTIFS('FotMob Seasons'!$A$8:$A$136,A53,'FotMob Seasons'!$H$8:$H$136,"Yes")</f>
        <v>1</v>
      </c>
      <c r="V53" s="18" t="n">
        <f aca="false">IFERROR(T53/U53,"")</f>
        <v>1722</v>
      </c>
      <c r="W53" s="18" t="n">
        <f aca="false">IFERROR(V53/G53,"")</f>
        <v>43.05</v>
      </c>
      <c r="X53" s="19" t="n">
        <v>6.57</v>
      </c>
      <c r="Y53" s="19"/>
      <c r="Z53" s="19"/>
      <c r="AA53" s="19"/>
      <c r="AB53" s="19"/>
      <c r="AC53" s="19"/>
      <c r="AD53" s="19"/>
      <c r="AE53" s="19"/>
      <c r="AF53" s="20" t="n">
        <f aca="false">IFERROR(AVERAGEIFS('FotMob Seasons'!$G$8:$G$136,'FotMob Seasons'!$A$8:$A$136,A53,'FotMob Seasons'!$H$8:$H$136,"Yes"),"")</f>
        <v>6.57</v>
      </c>
      <c r="AG53" s="10" t="s">
        <v>125</v>
      </c>
      <c r="AH53" s="21" t="s">
        <v>60</v>
      </c>
      <c r="AI53" s="21" t="s">
        <v>61</v>
      </c>
      <c r="AJ53" s="21" t="s">
        <v>136</v>
      </c>
    </row>
    <row r="54" customFormat="false" ht="24" hidden="false" customHeight="true" outlineLevel="0" collapsed="false">
      <c r="A54" s="10" t="s">
        <v>213</v>
      </c>
      <c r="B54" s="10" t="s">
        <v>64</v>
      </c>
      <c r="C54" s="11" t="n">
        <v>22</v>
      </c>
      <c r="D54" s="10" t="s">
        <v>208</v>
      </c>
      <c r="E54" s="10"/>
      <c r="F54" s="10" t="s">
        <v>54</v>
      </c>
      <c r="G54" s="12" t="n">
        <v>30</v>
      </c>
      <c r="H54" s="10" t="s">
        <v>214</v>
      </c>
      <c r="I54" s="10" t="s">
        <v>100</v>
      </c>
      <c r="J54" s="10" t="s">
        <v>101</v>
      </c>
      <c r="K54" s="13" t="s">
        <v>124</v>
      </c>
      <c r="L54" s="14" t="n">
        <v>30</v>
      </c>
      <c r="M54" s="14"/>
      <c r="N54" s="15" t="str">
        <f aca="false">IF(A54="","",IF(LEFT(K54,15)="Still at Palace","Current market value","Sale fee"))</f>
        <v>Current market value</v>
      </c>
      <c r="O54" s="15" t="n">
        <f aca="false">IF(K54="Sold",M54,IF(OR(K54="Still at Palace",K54="Still at Palace (on loan)"),L54,0))</f>
        <v>30</v>
      </c>
      <c r="P54" s="15" t="str">
        <f aca="false">IF(Q54&gt;0,"Gain",IF(Q54&lt;0,"Loss","Neutral"))</f>
        <v>Neutral</v>
      </c>
      <c r="Q54" s="15" t="n">
        <f aca="false">O54-G54</f>
        <v>0</v>
      </c>
      <c r="R54" s="16" t="n">
        <f aca="false">IFERROR(Q54/G54,"")</f>
        <v>0</v>
      </c>
      <c r="S54" s="14" t="n">
        <v>30</v>
      </c>
      <c r="T54" s="17" t="n">
        <f aca="false">SUMIFS('FotMob Seasons'!$F$8:$F$136,'FotMob Seasons'!$A$8:$A$136,A54,'FotMob Seasons'!$H$8:$H$136,"Yes")</f>
        <v>2091</v>
      </c>
      <c r="U54" s="17" t="n">
        <f aca="false">COUNTIFS('FotMob Seasons'!$A$8:$A$136,A54,'FotMob Seasons'!$H$8:$H$136,"Yes")</f>
        <v>1</v>
      </c>
      <c r="V54" s="18" t="n">
        <f aca="false">IFERROR(T54/U54,"")</f>
        <v>2091</v>
      </c>
      <c r="W54" s="18" t="n">
        <f aca="false">IFERROR(V54/G54,"")</f>
        <v>69.7</v>
      </c>
      <c r="X54" s="19" t="n">
        <v>6.71</v>
      </c>
      <c r="Y54" s="19"/>
      <c r="Z54" s="19"/>
      <c r="AA54" s="19"/>
      <c r="AB54" s="19"/>
      <c r="AC54" s="19"/>
      <c r="AD54" s="19"/>
      <c r="AE54" s="19"/>
      <c r="AF54" s="20" t="n">
        <f aca="false">IFERROR(AVERAGEIFS('FotMob Seasons'!$G$8:$G$136,'FotMob Seasons'!$A$8:$A$136,A54,'FotMob Seasons'!$H$8:$H$136,"Yes"),"")</f>
        <v>6.71</v>
      </c>
      <c r="AG54" s="10" t="s">
        <v>125</v>
      </c>
      <c r="AH54" s="21" t="s">
        <v>60</v>
      </c>
      <c r="AI54" s="21" t="s">
        <v>61</v>
      </c>
      <c r="AJ54" s="21" t="s">
        <v>136</v>
      </c>
    </row>
    <row r="55" customFormat="false" ht="24" hidden="false" customHeight="true" outlineLevel="0" collapsed="false">
      <c r="A55" s="10" t="s">
        <v>215</v>
      </c>
      <c r="B55" s="10" t="s">
        <v>52</v>
      </c>
      <c r="C55" s="11" t="n">
        <v>19</v>
      </c>
      <c r="D55" s="10" t="s">
        <v>208</v>
      </c>
      <c r="E55" s="10"/>
      <c r="F55" s="10" t="s">
        <v>54</v>
      </c>
      <c r="G55" s="12" t="n">
        <v>25</v>
      </c>
      <c r="H55" s="10" t="s">
        <v>216</v>
      </c>
      <c r="I55" s="10" t="s">
        <v>134</v>
      </c>
      <c r="J55" s="10" t="s">
        <v>57</v>
      </c>
      <c r="K55" s="13" t="s">
        <v>124</v>
      </c>
      <c r="L55" s="14" t="n">
        <v>28</v>
      </c>
      <c r="M55" s="14"/>
      <c r="N55" s="15" t="str">
        <f aca="false">IF(A55="","",IF(LEFT(K55,15)="Still at Palace","Current market value","Sale fee"))</f>
        <v>Current market value</v>
      </c>
      <c r="O55" s="15" t="n">
        <f aca="false">IF(K55="Sold",M55,IF(OR(K55="Still at Palace",K55="Still at Palace (on loan)"),L55,0))</f>
        <v>28</v>
      </c>
      <c r="P55" s="15" t="str">
        <f aca="false">IF(Q55&gt;0,"Gain",IF(Q55&lt;0,"Loss","Neutral"))</f>
        <v>Gain</v>
      </c>
      <c r="Q55" s="15" t="n">
        <f aca="false">O55-G55</f>
        <v>3</v>
      </c>
      <c r="R55" s="16" t="n">
        <f aca="false">IFERROR(Q55/G55,"")</f>
        <v>0.12</v>
      </c>
      <c r="S55" s="14" t="n">
        <v>4</v>
      </c>
      <c r="T55" s="17" t="n">
        <f aca="false">SUMIFS('FotMob Seasons'!$F$8:$F$136,'FotMob Seasons'!$A$8:$A$136,A55,'FotMob Seasons'!$H$8:$H$136,"Yes")</f>
        <v>1334</v>
      </c>
      <c r="U55" s="17" t="n">
        <f aca="false">COUNTIFS('FotMob Seasons'!$A$8:$A$136,A55,'FotMob Seasons'!$H$8:$H$136,"Yes")</f>
        <v>1</v>
      </c>
      <c r="V55" s="18" t="n">
        <f aca="false">IFERROR(T55/U55,"")</f>
        <v>1334</v>
      </c>
      <c r="W55" s="18" t="n">
        <f aca="false">IFERROR(V55/G55,"")</f>
        <v>53.36</v>
      </c>
      <c r="X55" s="19"/>
      <c r="Y55" s="19"/>
      <c r="Z55" s="19"/>
      <c r="AA55" s="19"/>
      <c r="AB55" s="19"/>
      <c r="AC55" s="19"/>
      <c r="AD55" s="19"/>
      <c r="AE55" s="19"/>
      <c r="AF55" s="20" t="n">
        <f aca="false">IFERROR(AVERAGEIFS('FotMob Seasons'!$G$8:$G$136,'FotMob Seasons'!$A$8:$A$136,A55,'FotMob Seasons'!$H$8:$H$136,"Yes"),"")</f>
        <v>6.84</v>
      </c>
      <c r="AG55" s="10" t="s">
        <v>125</v>
      </c>
      <c r="AH55" s="21" t="s">
        <v>60</v>
      </c>
      <c r="AI55" s="21" t="s">
        <v>128</v>
      </c>
      <c r="AJ55" s="21" t="s">
        <v>136</v>
      </c>
    </row>
    <row r="56" customFormat="false" ht="24" hidden="false" customHeight="true" outlineLevel="0" collapsed="false">
      <c r="A56" s="10" t="s">
        <v>217</v>
      </c>
      <c r="B56" s="10" t="s">
        <v>52</v>
      </c>
      <c r="C56" s="11" t="n">
        <v>27</v>
      </c>
      <c r="D56" s="10" t="s">
        <v>208</v>
      </c>
      <c r="E56" s="10"/>
      <c r="F56" s="10" t="s">
        <v>54</v>
      </c>
      <c r="G56" s="12" t="n">
        <v>2.5</v>
      </c>
      <c r="H56" s="10" t="s">
        <v>71</v>
      </c>
      <c r="I56" s="10" t="s">
        <v>72</v>
      </c>
      <c r="J56" s="10" t="s">
        <v>218</v>
      </c>
      <c r="K56" s="13" t="s">
        <v>124</v>
      </c>
      <c r="L56" s="14" t="n">
        <v>3</v>
      </c>
      <c r="M56" s="14"/>
      <c r="N56" s="15" t="str">
        <f aca="false">IF(A56="","",IF(LEFT(K56,15)="Still at Palace","Current market value","Sale fee"))</f>
        <v>Current market value</v>
      </c>
      <c r="O56" s="15" t="n">
        <f aca="false">IF(K56="Sold",M56,IF(OR(K56="Still at Palace",K56="Still at Palace (on loan)"),L56,0))</f>
        <v>3</v>
      </c>
      <c r="P56" s="15" t="str">
        <f aca="false">IF(Q56&gt;0,"Gain",IF(Q56&lt;0,"Loss","Neutral"))</f>
        <v>Gain</v>
      </c>
      <c r="Q56" s="15" t="n">
        <f aca="false">O56-G56</f>
        <v>0.5</v>
      </c>
      <c r="R56" s="16" t="n">
        <f aca="false">IFERROR(Q56/G56,"")</f>
        <v>0.2</v>
      </c>
      <c r="S56" s="14" t="n">
        <v>4.5</v>
      </c>
      <c r="T56" s="17" t="n">
        <f aca="false">SUMIFS('FotMob Seasons'!$F$8:$F$136,'FotMob Seasons'!$A$8:$A$136,A56,'FotMob Seasons'!$H$8:$H$136,"Yes")</f>
        <v>99</v>
      </c>
      <c r="U56" s="17" t="n">
        <f aca="false">COUNTIFS('FotMob Seasons'!$A$8:$A$136,A56,'FotMob Seasons'!$H$8:$H$136,"Yes")</f>
        <v>1</v>
      </c>
      <c r="V56" s="18" t="n">
        <f aca="false">IFERROR(T56/U56,"")</f>
        <v>99</v>
      </c>
      <c r="W56" s="18" t="n">
        <f aca="false">IFERROR(V56/G56,"")</f>
        <v>39.6</v>
      </c>
      <c r="X56" s="19"/>
      <c r="Y56" s="19"/>
      <c r="Z56" s="19"/>
      <c r="AA56" s="19"/>
      <c r="AB56" s="19"/>
      <c r="AC56" s="19"/>
      <c r="AD56" s="19"/>
      <c r="AE56" s="19"/>
      <c r="AF56" s="20" t="str">
        <f aca="false">IFERROR(AVERAGEIFS('FotMob Seasons'!$G$8:$G$136,'FotMob Seasons'!$A$8:$A$136,A56,'FotMob Seasons'!$H$8:$H$136,"Yes"),"")</f>
        <v/>
      </c>
      <c r="AG56" s="10" t="s">
        <v>125</v>
      </c>
      <c r="AH56" s="21" t="s">
        <v>60</v>
      </c>
      <c r="AI56" s="21" t="s">
        <v>128</v>
      </c>
      <c r="AJ56" s="21" t="s">
        <v>136</v>
      </c>
    </row>
    <row r="57" customFormat="false" ht="24" hidden="false" customHeight="true" outlineLevel="0" collapsed="false">
      <c r="A57" s="10" t="s">
        <v>219</v>
      </c>
      <c r="B57" s="10" t="s">
        <v>81</v>
      </c>
      <c r="C57" s="11" t="n">
        <v>32</v>
      </c>
      <c r="D57" s="10" t="s">
        <v>208</v>
      </c>
      <c r="E57" s="10"/>
      <c r="F57" s="10" t="s">
        <v>82</v>
      </c>
      <c r="G57" s="12" t="n">
        <v>0</v>
      </c>
      <c r="H57" s="10" t="s">
        <v>220</v>
      </c>
      <c r="I57" s="10" t="s">
        <v>72</v>
      </c>
      <c r="J57" s="10" t="s">
        <v>221</v>
      </c>
      <c r="K57" s="13" t="s">
        <v>124</v>
      </c>
      <c r="L57" s="14" t="n">
        <v>4</v>
      </c>
      <c r="M57" s="14"/>
      <c r="N57" s="15" t="str">
        <f aca="false">IF(A57="","",IF(LEFT(K57,15)="Still at Palace","Current market value","Sale fee"))</f>
        <v>Current market value</v>
      </c>
      <c r="O57" s="15" t="n">
        <f aca="false">IF(K57="Sold",M57,IF(OR(K57="Still at Palace",K57="Still at Palace (on loan)"),L57,0))</f>
        <v>4</v>
      </c>
      <c r="P57" s="15" t="str">
        <f aca="false">IF(Q57&gt;0,"Gain",IF(Q57&lt;0,"Loss","Neutral"))</f>
        <v>Gain</v>
      </c>
      <c r="Q57" s="15" t="n">
        <f aca="false">O57-G57</f>
        <v>4</v>
      </c>
      <c r="R57" s="16" t="str">
        <f aca="false">IFERROR(Q57/G57,"")</f>
        <v/>
      </c>
      <c r="S57" s="14" t="n">
        <v>7.5</v>
      </c>
      <c r="T57" s="17" t="n">
        <f aca="false">SUMIFS('FotMob Seasons'!$F$8:$F$136,'FotMob Seasons'!$A$8:$A$136,A57,'FotMob Seasons'!$H$8:$H$136,"Yes")</f>
        <v>1</v>
      </c>
      <c r="U57" s="17" t="n">
        <f aca="false">COUNTIFS('FotMob Seasons'!$A$8:$A$136,A57,'FotMob Seasons'!$H$8:$H$136,"Yes")</f>
        <v>1</v>
      </c>
      <c r="V57" s="18" t="n">
        <f aca="false">IFERROR(T57/U57,"")</f>
        <v>1</v>
      </c>
      <c r="W57" s="18" t="str">
        <f aca="false">IFERROR(V57/G57,"")</f>
        <v/>
      </c>
      <c r="X57" s="19"/>
      <c r="Y57" s="19"/>
      <c r="Z57" s="19"/>
      <c r="AA57" s="19"/>
      <c r="AB57" s="19"/>
      <c r="AC57" s="19"/>
      <c r="AD57" s="19"/>
      <c r="AE57" s="19"/>
      <c r="AF57" s="20" t="str">
        <f aca="false">IFERROR(AVERAGEIFS('FotMob Seasons'!$G$8:$G$136,'FotMob Seasons'!$A$8:$A$136,A57,'FotMob Seasons'!$H$8:$H$136,"Yes"),"")</f>
        <v/>
      </c>
      <c r="AG57" s="10" t="s">
        <v>125</v>
      </c>
      <c r="AH57" s="21" t="s">
        <v>85</v>
      </c>
      <c r="AI57" s="21" t="s">
        <v>128</v>
      </c>
      <c r="AJ57" s="21" t="s">
        <v>136</v>
      </c>
    </row>
    <row r="58" customFormat="false" ht="24" hidden="false" customHeight="true" outlineLevel="0" collapsed="false">
      <c r="A58" s="10"/>
      <c r="B58" s="10"/>
      <c r="C58" s="11"/>
      <c r="D58" s="10"/>
      <c r="E58" s="10"/>
      <c r="F58" s="10"/>
      <c r="G58" s="12"/>
      <c r="H58" s="10"/>
      <c r="I58" s="10"/>
      <c r="J58" s="10"/>
      <c r="K58" s="13"/>
      <c r="L58" s="14"/>
      <c r="M58" s="14"/>
      <c r="N58" s="15" t="str">
        <f aca="false">IF(A58="","",IF(LEFT(K58,15)="Still at Palace","Current market value","Sale fee"))</f>
        <v/>
      </c>
      <c r="O58" s="15" t="str">
        <f aca="false">IF(A58="","",IF(N58="Current market value",L58,M58))</f>
        <v/>
      </c>
      <c r="P58" s="15" t="str">
        <f aca="false">IF(A58="","",IF(N58="Current market value","Unrealised","Realised"))</f>
        <v/>
      </c>
      <c r="Q58" s="15" t="str">
        <f aca="false">IF(A58="","",IF(AND(ISNUMBER(G58),ISNUMBER(O58)),O58-G58,""))</f>
        <v/>
      </c>
      <c r="R58" s="16" t="str">
        <f aca="false">IF(A58="","",IF(AND(ISNUMBER(G58),G58&gt;0,ISNUMBER(Q58)),Q58/G58,""))</f>
        <v/>
      </c>
      <c r="S58" s="14"/>
      <c r="T58" s="22"/>
      <c r="U58" s="23"/>
      <c r="V58" s="24" t="str">
        <f aca="false">IF(A58="","",IF(AND(ISNUMBER(T58),ISNUMBER(U58),U58&gt;0),T58/U58,""))</f>
        <v/>
      </c>
      <c r="W58" s="25" t="str">
        <f aca="false">IF(A58="","",IF(AND(ISNUMBER(V58),ISNUMBER(G58),G58&gt;0),V58/G58,""))</f>
        <v/>
      </c>
      <c r="X58" s="19"/>
      <c r="Y58" s="19"/>
      <c r="Z58" s="19"/>
      <c r="AA58" s="19"/>
      <c r="AB58" s="19"/>
      <c r="AC58" s="19"/>
      <c r="AD58" s="19"/>
      <c r="AE58" s="19"/>
      <c r="AF58" s="26" t="str">
        <f aca="false">IF(A58="","",IF(COUNT(X58:AE58)=0,"",AVERAGE(X58:AE58)))</f>
        <v/>
      </c>
      <c r="AG58" s="10"/>
    </row>
    <row r="59" customFormat="false" ht="24" hidden="false" customHeight="true" outlineLevel="0" collapsed="false">
      <c r="A59" s="10"/>
      <c r="B59" s="10"/>
      <c r="C59" s="11"/>
      <c r="D59" s="10"/>
      <c r="E59" s="10"/>
      <c r="F59" s="10"/>
      <c r="G59" s="12"/>
      <c r="H59" s="10"/>
      <c r="I59" s="10"/>
      <c r="J59" s="10"/>
      <c r="K59" s="13"/>
      <c r="L59" s="14"/>
      <c r="M59" s="14"/>
      <c r="N59" s="15" t="str">
        <f aca="false">IF(A59="","",IF(LEFT(K59,15)="Still at Palace","Current market value","Sale fee"))</f>
        <v/>
      </c>
      <c r="O59" s="15" t="str">
        <f aca="false">IF(A59="","",IF(N59="Current market value",L59,M59))</f>
        <v/>
      </c>
      <c r="P59" s="15" t="str">
        <f aca="false">IF(A59="","",IF(N59="Current market value","Unrealised","Realised"))</f>
        <v/>
      </c>
      <c r="Q59" s="15" t="str">
        <f aca="false">IF(A59="","",IF(AND(ISNUMBER(G59),ISNUMBER(O59)),O59-G59,""))</f>
        <v/>
      </c>
      <c r="R59" s="16" t="str">
        <f aca="false">IF(A59="","",IF(AND(ISNUMBER(G59),G59&gt;0,ISNUMBER(Q59)),Q59/G59,""))</f>
        <v/>
      </c>
      <c r="S59" s="14"/>
      <c r="T59" s="22"/>
      <c r="U59" s="23"/>
      <c r="V59" s="24" t="str">
        <f aca="false">IF(A59="","",IF(AND(ISNUMBER(T59),ISNUMBER(U59),U59&gt;0),T59/U59,""))</f>
        <v/>
      </c>
      <c r="W59" s="25" t="str">
        <f aca="false">IF(A59="","",IF(AND(ISNUMBER(V59),ISNUMBER(G59),G59&gt;0),V59/G59,""))</f>
        <v/>
      </c>
      <c r="X59" s="19"/>
      <c r="Y59" s="19"/>
      <c r="Z59" s="19"/>
      <c r="AA59" s="19"/>
      <c r="AB59" s="19"/>
      <c r="AC59" s="19"/>
      <c r="AD59" s="19"/>
      <c r="AE59" s="19"/>
      <c r="AF59" s="26" t="str">
        <f aca="false">IF(A59="","",IF(COUNT(X59:AE59)=0,"",AVERAGE(X59:AE59)))</f>
        <v/>
      </c>
      <c r="AG59" s="10"/>
    </row>
    <row r="60" customFormat="false" ht="24" hidden="false" customHeight="true" outlineLevel="0" collapsed="false">
      <c r="A60" s="10"/>
      <c r="B60" s="10"/>
      <c r="C60" s="11"/>
      <c r="D60" s="10"/>
      <c r="E60" s="10"/>
      <c r="F60" s="10"/>
      <c r="G60" s="12"/>
      <c r="H60" s="10"/>
      <c r="I60" s="10"/>
      <c r="J60" s="10"/>
      <c r="K60" s="13"/>
      <c r="L60" s="14"/>
      <c r="M60" s="14"/>
      <c r="N60" s="15" t="str">
        <f aca="false">IF(A60="","",IF(LEFT(K60,15)="Still at Palace","Current market value","Sale fee"))</f>
        <v/>
      </c>
      <c r="O60" s="15" t="str">
        <f aca="false">IF(A60="","",IF(N60="Current market value",L60,M60))</f>
        <v/>
      </c>
      <c r="P60" s="15" t="str">
        <f aca="false">IF(A60="","",IF(N60="Current market value","Unrealised","Realised"))</f>
        <v/>
      </c>
      <c r="Q60" s="15" t="str">
        <f aca="false">IF(A60="","",IF(AND(ISNUMBER(G60),ISNUMBER(O60)),O60-G60,""))</f>
        <v/>
      </c>
      <c r="R60" s="16" t="str">
        <f aca="false">IF(A60="","",IF(AND(ISNUMBER(G60),G60&gt;0,ISNUMBER(Q60)),Q60/G60,""))</f>
        <v/>
      </c>
      <c r="S60" s="14"/>
      <c r="T60" s="22"/>
      <c r="U60" s="23"/>
      <c r="V60" s="24" t="str">
        <f aca="false">IF(A60="","",IF(AND(ISNUMBER(T60),ISNUMBER(U60),U60&gt;0),T60/U60,""))</f>
        <v/>
      </c>
      <c r="W60" s="25" t="str">
        <f aca="false">IF(A60="","",IF(AND(ISNUMBER(V60),ISNUMBER(G60),G60&gt;0),V60/G60,""))</f>
        <v/>
      </c>
      <c r="X60" s="19"/>
      <c r="Y60" s="19"/>
      <c r="Z60" s="19"/>
      <c r="AA60" s="19"/>
      <c r="AB60" s="19"/>
      <c r="AC60" s="19"/>
      <c r="AD60" s="19"/>
      <c r="AE60" s="19"/>
      <c r="AF60" s="26" t="str">
        <f aca="false">IF(A60="","",IF(COUNT(X60:AE60)=0,"",AVERAGE(X60:AE60)))</f>
        <v/>
      </c>
      <c r="AG60" s="10"/>
    </row>
  </sheetData>
  <mergeCells count="18">
    <mergeCell ref="A1:AF1"/>
    <mergeCell ref="B2:E2"/>
    <mergeCell ref="G2:J2"/>
    <mergeCell ref="L2:O2"/>
    <mergeCell ref="Q2:T2"/>
    <mergeCell ref="B3:E4"/>
    <mergeCell ref="G3:J4"/>
    <mergeCell ref="L3:O4"/>
    <mergeCell ref="Q3:T4"/>
    <mergeCell ref="B5:E5"/>
    <mergeCell ref="G5:J5"/>
    <mergeCell ref="L5:O5"/>
    <mergeCell ref="Q5:T5"/>
    <mergeCell ref="A7:AF7"/>
    <mergeCell ref="A8:H9"/>
    <mergeCell ref="I8:P9"/>
    <mergeCell ref="Q8:X9"/>
    <mergeCell ref="Y8:AF9"/>
  </mergeCells>
  <conditionalFormatting sqref="K11:K60">
    <cfRule type="expression" priority="2" aboveAverage="0" equalAverage="0" bottom="0" percent="0" rank="0" text="" dxfId="18">
      <formula>LEFT($K11,15)="Still at Palace"</formula>
    </cfRule>
    <cfRule type="expression" priority="3" aboveAverage="0" equalAverage="0" bottom="0" percent="0" rank="0" text="" dxfId="19">
      <formula>$K11="Sold"</formula>
    </cfRule>
    <cfRule type="expression" priority="4" aboveAverage="0" equalAverage="0" bottom="0" percent="0" rank="0" text="" dxfId="20">
      <formula>$K11="Released / Free"</formula>
    </cfRule>
  </conditionalFormatting>
  <conditionalFormatting sqref="Q11:Q60">
    <cfRule type="expression" priority="5" aboveAverage="0" equalAverage="0" bottom="0" percent="0" rank="0" text="" dxfId="18">
      <formula>AND(ISNUMBER(Q11),Q11&gt;0)</formula>
    </cfRule>
    <cfRule type="expression" priority="6" aboveAverage="0" equalAverage="0" bottom="0" percent="0" rank="0" text="" dxfId="21">
      <formula>AND(ISNUMBER(Q11),Q11&lt;0)</formula>
    </cfRule>
    <cfRule type="expression" priority="7" aboveAverage="0" equalAverage="0" bottom="0" percent="0" rank="0" text="" dxfId="22">
      <formula>AND(ISNUMBER(Q11),Q11=0)</formula>
    </cfRule>
  </conditionalFormatting>
  <conditionalFormatting sqref="X11:AF60">
    <cfRule type="expression" priority="8" aboveAverage="0" equalAverage="0" bottom="0" percent="0" rank="0" text="" dxfId="18">
      <formula>AND(ISNUMBER(X11),X11&gt;=7)</formula>
    </cfRule>
    <cfRule type="expression" priority="9" aboveAverage="0" equalAverage="0" bottom="0" percent="0" rank="0" text="" dxfId="23">
      <formula>AND(ISNUMBER(X11),X11&gt;=6,X11&lt;7)</formula>
    </cfRule>
    <cfRule type="expression" priority="10" aboveAverage="0" equalAverage="0" bottom="0" percent="0" rank="0" text="" dxfId="24">
      <formula>AND(ISNUMBER(X11),X11&lt;6)</formula>
    </cfRule>
  </conditionalFormatting>
  <conditionalFormatting sqref="V11:W60">
    <cfRule type="dataBar" priority="11">
      <dataBar showValue="1" minLength="10" maxLength="90">
        <cfvo type="min" val="0"/>
        <cfvo type="max" val="0"/>
        <color rgb="FF00B86B"/>
      </dataBar>
      <extLst>
        <ext xmlns:x14="http://schemas.microsoft.com/office/spreadsheetml/2009/9/main" uri="{B025F937-C7B1-47D3-B67F-A62EFF666E3E}">
          <x14:id>{48CAC6E7-C010-452F-A7E0-559C1C8136E8}</x14:id>
        </ext>
      </extLst>
    </cfRule>
  </conditionalFormatting>
  <conditionalFormatting sqref="AF11:AF57">
    <cfRule type="colorScale" priority="12">
      <colorScale>
        <cfvo type="min" val="0"/>
        <cfvo type="percentile" val="50"/>
        <cfvo type="max" val="0"/>
        <color rgb="FFFCE8E8"/>
        <color rgb="FFFFF2CC"/>
        <color rgb="FFD7F2E4"/>
      </colorScale>
    </cfRule>
  </conditionalFormatting>
  <dataValidations count="10">
    <dataValidation allowBlank="false" errorStyle="stop" operator="between" showDropDown="false" showErrorMessage="false" showInputMessage="false" sqref="B11:B60" type="list">
      <formula1>"FW,DF,GK,MD"</formula1>
      <formula2>0</formula2>
    </dataValidation>
    <dataValidation allowBlank="false" errorStyle="stop" operator="between" showDropDown="false" showErrorMessage="false" showInputMessage="false" sqref="C11:C60" type="none">
      <formula1>0</formula1>
      <formula2>100</formula2>
    </dataValidation>
    <dataValidation allowBlank="false" errorStyle="stop" operator="between" showDropDown="false" showErrorMessage="false" showInputMessage="false" sqref="D11:D60" type="list">
      <formula1>"2017/18,2018/19,2019/20,2020/21,2021/22,2022/23,2023/24,2024/25,2025/26"</formula1>
      <formula2>0</formula2>
    </dataValidation>
    <dataValidation allowBlank="false" errorStyle="stop" operator="between" showDropDown="false" showErrorMessage="false" showInputMessage="false" sqref="E11:E60" type="list">
      <formula1>"Frank de Boer,Roy Hodgson (1st spell),Patrick Vieira,Roy Hodgson (2nd spell),Oliver Glasner"</formula1>
      <formula2>0</formula2>
    </dataValidation>
    <dataValidation allowBlank="false" errorStyle="stop" operator="between" showDropDown="false" showErrorMessage="false" showInputMessage="false" sqref="F11:F60" type="list">
      <formula1>"Paid,Free transfer"</formula1>
      <formula2>0</formula2>
    </dataValidation>
    <dataValidation allowBlank="false" errorStyle="stop" operator="between" showDropDown="false" showErrorMessage="false" showInputMessage="false" sqref="K11:K60" type="list">
      <formula1>"Still at Palace,Still at Palace (on loan),Sold,Released / Free"</formula1>
      <formula2>0</formula2>
    </dataValidation>
    <dataValidation allowBlank="false" errorStyle="stop" operator="greaterThanOrEqual" showDropDown="false" showErrorMessage="false" showInputMessage="false" sqref="G11:G60 L11:M60 S11:S60" type="decimal">
      <formula1>0</formula1>
      <formula2>0</formula2>
    </dataValidation>
    <dataValidation allowBlank="false" errorStyle="stop" operator="greaterThanOrEqual" showDropDown="false" showErrorMessage="false" showInputMessage="false" sqref="T11:T60" type="none">
      <formula1>0</formula1>
      <formula2>0</formula2>
    </dataValidation>
    <dataValidation allowBlank="false" errorStyle="stop" operator="greaterThan" showDropDown="false" showErrorMessage="false" showInputMessage="false" sqref="U11:U60" type="decimal">
      <formula1>0</formula1>
      <formula2>0</formula2>
    </dataValidation>
    <dataValidation allowBlank="false" errorStyle="stop" operator="between" showDropDown="false" showErrorMessage="false" showInputMessage="false" sqref="X11:AE60" type="decimal">
      <formula1>0</formula1>
      <formula2>10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CAC6E7-C010-452F-A7E0-559C1C8136E8}">
            <x14:dataBar minLength="10" maxLength="90" axisPosition="none" gradient="true">
              <x14:cfvo type="min"/>
              <x14:cfvo type="max"/>
              <x14:negativeFillColor rgb="FF00B86B"/>
              <x14:axisColor rgb="FF000000"/>
            </x14:dataBar>
          </x14:cfRule>
          <xm:sqref>V11:W60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45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48"/>
    <col collapsed="false" customWidth="true" hidden="false" outlineLevel="0" max="8" min="8" style="1" width="16"/>
  </cols>
  <sheetData>
    <row r="1" customFormat="false" ht="33.75" hidden="false" customHeight="true" outlineLevel="0" collapsed="false">
      <c r="A1" s="27" t="s">
        <v>222</v>
      </c>
      <c r="B1" s="27"/>
      <c r="C1" s="27"/>
      <c r="D1" s="27"/>
      <c r="E1" s="27"/>
      <c r="F1" s="27"/>
      <c r="G1" s="27"/>
      <c r="H1" s="27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28" t="s">
        <v>223</v>
      </c>
      <c r="B3" s="28" t="s">
        <v>224</v>
      </c>
      <c r="C3" s="28" t="s">
        <v>225</v>
      </c>
      <c r="D3" s="28" t="s">
        <v>226</v>
      </c>
      <c r="E3" s="28" t="s">
        <v>227</v>
      </c>
      <c r="F3" s="28" t="s">
        <v>228</v>
      </c>
      <c r="G3" s="28" t="s">
        <v>229</v>
      </c>
      <c r="H3" s="28" t="s">
        <v>230</v>
      </c>
    </row>
    <row r="4" customFormat="false" ht="67.5" hidden="false" customHeight="true" outlineLevel="0" collapsed="false">
      <c r="A4" s="29" t="s">
        <v>231</v>
      </c>
      <c r="B4" s="29" t="s">
        <v>232</v>
      </c>
      <c r="C4" s="29" t="s">
        <v>233</v>
      </c>
      <c r="D4" s="29" t="s">
        <v>234</v>
      </c>
      <c r="E4" s="29" t="s">
        <v>235</v>
      </c>
      <c r="F4" s="29" t="s">
        <v>236</v>
      </c>
      <c r="G4" s="29" t="s">
        <v>237</v>
      </c>
      <c r="H4" s="29" t="s">
        <v>238</v>
      </c>
    </row>
    <row r="5" customFormat="false" ht="67.5" hidden="false" customHeight="true" outlineLevel="0" collapsed="false">
      <c r="A5" s="29" t="s">
        <v>239</v>
      </c>
      <c r="B5" s="29" t="s">
        <v>240</v>
      </c>
      <c r="C5" s="29" t="s">
        <v>241</v>
      </c>
      <c r="D5" s="29" t="s">
        <v>59</v>
      </c>
      <c r="E5" s="29" t="s">
        <v>235</v>
      </c>
      <c r="F5" s="29" t="s">
        <v>242</v>
      </c>
      <c r="G5" s="29" t="s">
        <v>243</v>
      </c>
      <c r="H5" s="29" t="s">
        <v>238</v>
      </c>
    </row>
    <row r="6" customFormat="false" ht="67.5" hidden="false" customHeight="true" outlineLevel="0" collapsed="false">
      <c r="A6" s="29" t="s">
        <v>244</v>
      </c>
      <c r="B6" s="29" t="s">
        <v>245</v>
      </c>
      <c r="C6" s="29" t="s">
        <v>246</v>
      </c>
      <c r="D6" s="29" t="s">
        <v>59</v>
      </c>
      <c r="E6" s="29" t="s">
        <v>235</v>
      </c>
      <c r="F6" s="29" t="s">
        <v>242</v>
      </c>
      <c r="G6" s="29" t="s">
        <v>247</v>
      </c>
      <c r="H6" s="29" t="s">
        <v>238</v>
      </c>
    </row>
    <row r="7" customFormat="false" ht="67.5" hidden="false" customHeight="true" outlineLevel="0" collapsed="false">
      <c r="A7" s="29" t="s">
        <v>248</v>
      </c>
      <c r="B7" s="29" t="s">
        <v>249</v>
      </c>
      <c r="C7" s="29" t="s">
        <v>250</v>
      </c>
      <c r="D7" s="29" t="s">
        <v>251</v>
      </c>
      <c r="E7" s="29" t="s">
        <v>235</v>
      </c>
      <c r="F7" s="29" t="s">
        <v>252</v>
      </c>
      <c r="G7" s="29" t="s">
        <v>253</v>
      </c>
      <c r="H7" s="29" t="s">
        <v>254</v>
      </c>
    </row>
    <row r="8" customFormat="false" ht="67.5" hidden="false" customHeight="true" outlineLevel="0" collapsed="false">
      <c r="A8" s="29" t="s">
        <v>255</v>
      </c>
      <c r="B8" s="29" t="s">
        <v>256</v>
      </c>
      <c r="C8" s="29" t="s">
        <v>257</v>
      </c>
      <c r="D8" s="29" t="s">
        <v>251</v>
      </c>
      <c r="E8" s="29" t="s">
        <v>258</v>
      </c>
      <c r="F8" s="29" t="s">
        <v>259</v>
      </c>
      <c r="G8" s="29" t="s">
        <v>260</v>
      </c>
      <c r="H8" s="29" t="s">
        <v>254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30" t="s">
        <v>261</v>
      </c>
      <c r="B11" s="30"/>
      <c r="C11" s="30"/>
      <c r="D11" s="30"/>
      <c r="E11" s="30"/>
      <c r="F11" s="30"/>
      <c r="G11" s="30"/>
      <c r="H11" s="30"/>
    </row>
    <row r="12" customFormat="false" ht="15" hidden="false" customHeight="true" outlineLevel="0" collapsed="false">
      <c r="A12" s="31" t="s">
        <v>262</v>
      </c>
      <c r="B12" s="31"/>
      <c r="C12" s="31"/>
      <c r="D12" s="31"/>
      <c r="E12" s="31"/>
      <c r="F12" s="31"/>
      <c r="G12" s="31"/>
      <c r="H12" s="31"/>
    </row>
    <row r="13" customFormat="false" ht="1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15" hidden="false" customHeight="true" outlineLevel="0" collapsed="false">
      <c r="A14" s="31"/>
      <c r="B14" s="31"/>
      <c r="C14" s="31"/>
      <c r="D14" s="31"/>
      <c r="E14" s="31"/>
      <c r="F14" s="31"/>
      <c r="G14" s="31"/>
      <c r="H14" s="31"/>
    </row>
  </sheetData>
  <mergeCells count="3">
    <mergeCell ref="A1:H1"/>
    <mergeCell ref="A11:H11"/>
    <mergeCell ref="A12:H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25"/>
    <col collapsed="false" customWidth="true" hidden="false" outlineLevel="0" max="11" min="11" style="1" width="44"/>
    <col collapsed="false" customWidth="true" hidden="false" outlineLevel="0" max="12" min="12" style="1" width="48"/>
  </cols>
  <sheetData>
    <row r="1" customFormat="false" ht="33.75" hidden="false" customHeight="true" outlineLevel="0" collapsed="false">
      <c r="A1" s="32" t="s">
        <v>263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customFormat="false" ht="15" hidden="false" customHeight="true" outlineLevel="0" collapsed="false">
      <c r="A3" s="33" t="s">
        <v>264</v>
      </c>
      <c r="B3" s="33"/>
      <c r="C3" s="33" t="s">
        <v>265</v>
      </c>
      <c r="D3" s="33"/>
      <c r="E3" s="33" t="s">
        <v>266</v>
      </c>
      <c r="F3" s="33"/>
      <c r="G3" s="33" t="s">
        <v>267</v>
      </c>
      <c r="H3" s="33"/>
      <c r="I3" s="33" t="s">
        <v>268</v>
      </c>
      <c r="J3" s="33"/>
    </row>
    <row r="4" customFormat="false" ht="18" hidden="false" customHeight="true" outlineLevel="0" collapsed="false">
      <c r="A4" s="34" t="n">
        <f aca="false">COUNTA('Research Tracker'!A11:A57)</f>
        <v>47</v>
      </c>
      <c r="B4" s="34"/>
      <c r="C4" s="34" t="n">
        <f aca="false">COUNTA(A8:A136)</f>
        <v>129</v>
      </c>
      <c r="D4" s="34"/>
      <c r="E4" s="34" t="n">
        <f aca="false">COUNT(G8:G136)</f>
        <v>103</v>
      </c>
      <c r="F4" s="34"/>
      <c r="G4" s="34" t="n">
        <f aca="false">COUNTIFS(H8:H136,"Yes",F8:F136,"&gt;0")</f>
        <v>114</v>
      </c>
      <c r="H4" s="34"/>
      <c r="I4" s="34" t="n">
        <f aca="false">COUNTIF(H8:H136,"No")</f>
        <v>2</v>
      </c>
      <c r="J4" s="34"/>
    </row>
    <row r="6" customFormat="false" ht="45.75" hidden="false" customHeight="true" outlineLevel="0" collapsed="false">
      <c r="A6" s="35" t="s">
        <v>269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customFormat="false" ht="33.75" hidden="false" customHeight="true" outlineLevel="0" collapsed="false">
      <c r="A7" s="36" t="s">
        <v>15</v>
      </c>
      <c r="B7" s="36" t="s">
        <v>16</v>
      </c>
      <c r="C7" s="36" t="s">
        <v>270</v>
      </c>
      <c r="D7" s="36" t="s">
        <v>271</v>
      </c>
      <c r="E7" s="36" t="s">
        <v>48</v>
      </c>
      <c r="F7" s="36" t="s">
        <v>272</v>
      </c>
      <c r="G7" s="36" t="s">
        <v>273</v>
      </c>
      <c r="H7" s="36" t="s">
        <v>274</v>
      </c>
      <c r="I7" s="36" t="s">
        <v>275</v>
      </c>
      <c r="J7" s="36" t="s">
        <v>276</v>
      </c>
      <c r="K7" s="36" t="s">
        <v>277</v>
      </c>
      <c r="L7" s="36" t="s">
        <v>278</v>
      </c>
    </row>
    <row r="8" customFormat="false" ht="15" hidden="false" customHeight="true" outlineLevel="0" collapsed="false">
      <c r="A8" s="21" t="s">
        <v>51</v>
      </c>
      <c r="B8" s="21" t="s">
        <v>52</v>
      </c>
      <c r="C8" s="21" t="s">
        <v>53</v>
      </c>
      <c r="D8" s="21" t="s">
        <v>53</v>
      </c>
      <c r="E8" s="21" t="s">
        <v>60</v>
      </c>
      <c r="F8" s="37" t="n">
        <v>1600</v>
      </c>
      <c r="G8" s="38" t="n">
        <v>6.74</v>
      </c>
      <c r="H8" s="21" t="s">
        <v>279</v>
      </c>
      <c r="I8" s="21" t="str">
        <f aca="false">IF(AND(H8="Yes",F8&gt;0),"Yes","No")</f>
        <v>Yes</v>
      </c>
      <c r="J8" s="21" t="s">
        <v>62</v>
      </c>
      <c r="K8" s="21" t="s">
        <v>280</v>
      </c>
      <c r="L8" s="21"/>
    </row>
    <row r="9" customFormat="false" ht="15" hidden="false" customHeight="true" outlineLevel="0" collapsed="false">
      <c r="A9" s="21" t="s">
        <v>51</v>
      </c>
      <c r="B9" s="21" t="s">
        <v>52</v>
      </c>
      <c r="C9" s="21" t="s">
        <v>53</v>
      </c>
      <c r="D9" s="21" t="s">
        <v>87</v>
      </c>
      <c r="E9" s="21" t="s">
        <v>60</v>
      </c>
      <c r="F9" s="37" t="n">
        <v>2417</v>
      </c>
      <c r="G9" s="38" t="n">
        <v>6.68</v>
      </c>
      <c r="H9" s="21" t="s">
        <v>279</v>
      </c>
      <c r="I9" s="21" t="str">
        <f aca="false">IF(AND(H9="Yes",F9&gt;0),"Yes","No")</f>
        <v>Yes</v>
      </c>
      <c r="J9" s="21" t="s">
        <v>62</v>
      </c>
      <c r="K9" s="21" t="s">
        <v>280</v>
      </c>
      <c r="L9" s="21"/>
    </row>
    <row r="10" customFormat="false" ht="15" hidden="false" customHeight="true" outlineLevel="0" collapsed="false">
      <c r="A10" s="21" t="s">
        <v>51</v>
      </c>
      <c r="B10" s="21" t="s">
        <v>52</v>
      </c>
      <c r="C10" s="21" t="s">
        <v>53</v>
      </c>
      <c r="D10" s="21" t="s">
        <v>103</v>
      </c>
      <c r="E10" s="21" t="s">
        <v>60</v>
      </c>
      <c r="F10" s="37" t="n">
        <v>931</v>
      </c>
      <c r="G10" s="38" t="n">
        <v>6.16</v>
      </c>
      <c r="H10" s="21" t="s">
        <v>279</v>
      </c>
      <c r="I10" s="21" t="str">
        <f aca="false">IF(AND(H10="Yes",F10&gt;0),"Yes","No")</f>
        <v>Yes</v>
      </c>
      <c r="J10" s="21" t="s">
        <v>62</v>
      </c>
      <c r="K10" s="21" t="s">
        <v>280</v>
      </c>
      <c r="L10" s="21"/>
    </row>
    <row r="11" customFormat="false" ht="15" hidden="false" customHeight="true" outlineLevel="0" collapsed="false">
      <c r="A11" s="21" t="s">
        <v>51</v>
      </c>
      <c r="B11" s="21" t="s">
        <v>52</v>
      </c>
      <c r="C11" s="21" t="s">
        <v>53</v>
      </c>
      <c r="D11" s="21" t="s">
        <v>116</v>
      </c>
      <c r="E11" s="21" t="s">
        <v>60</v>
      </c>
      <c r="F11" s="37" t="n">
        <v>275</v>
      </c>
      <c r="G11" s="38" t="n">
        <v>6.28</v>
      </c>
      <c r="H11" s="21" t="s">
        <v>279</v>
      </c>
      <c r="I11" s="21" t="str">
        <f aca="false">IF(AND(H11="Yes",F11&gt;0),"Yes","No")</f>
        <v>Yes</v>
      </c>
      <c r="J11" s="21" t="s">
        <v>62</v>
      </c>
      <c r="K11" s="21" t="s">
        <v>280</v>
      </c>
      <c r="L11" s="21"/>
    </row>
    <row r="12" customFormat="false" ht="15" hidden="false" customHeight="true" outlineLevel="0" collapsed="false">
      <c r="A12" s="21" t="s">
        <v>63</v>
      </c>
      <c r="B12" s="21" t="s">
        <v>64</v>
      </c>
      <c r="C12" s="21" t="s">
        <v>53</v>
      </c>
      <c r="D12" s="21" t="s">
        <v>53</v>
      </c>
      <c r="E12" s="21" t="s">
        <v>60</v>
      </c>
      <c r="F12" s="37" t="n">
        <v>360</v>
      </c>
      <c r="G12" s="38" t="n">
        <v>6.69</v>
      </c>
      <c r="H12" s="21" t="s">
        <v>279</v>
      </c>
      <c r="I12" s="21" t="str">
        <f aca="false">IF(AND(H12="Yes",F12&gt;0),"Yes","No")</f>
        <v>Yes</v>
      </c>
      <c r="J12" s="21" t="s">
        <v>62</v>
      </c>
      <c r="K12" s="21" t="s">
        <v>280</v>
      </c>
      <c r="L12" s="21"/>
    </row>
    <row r="13" customFormat="false" ht="15" hidden="false" customHeight="true" outlineLevel="0" collapsed="false">
      <c r="A13" s="21" t="s">
        <v>63</v>
      </c>
      <c r="B13" s="21" t="s">
        <v>64</v>
      </c>
      <c r="C13" s="21" t="s">
        <v>53</v>
      </c>
      <c r="D13" s="21" t="s">
        <v>87</v>
      </c>
      <c r="E13" s="21" t="s">
        <v>60</v>
      </c>
      <c r="F13" s="37" t="n">
        <v>173</v>
      </c>
      <c r="G13" s="38" t="n">
        <v>6.08</v>
      </c>
      <c r="H13" s="21" t="s">
        <v>279</v>
      </c>
      <c r="I13" s="21" t="str">
        <f aca="false">IF(AND(H13="Yes",F13&gt;0),"Yes","No")</f>
        <v>Yes</v>
      </c>
      <c r="J13" s="21" t="s">
        <v>62</v>
      </c>
      <c r="K13" s="21" t="s">
        <v>280</v>
      </c>
      <c r="L13" s="21"/>
    </row>
    <row r="14" customFormat="false" ht="15" hidden="false" customHeight="true" outlineLevel="0" collapsed="false">
      <c r="A14" s="21" t="s">
        <v>69</v>
      </c>
      <c r="B14" s="21" t="s">
        <v>70</v>
      </c>
      <c r="C14" s="21" t="s">
        <v>53</v>
      </c>
      <c r="D14" s="21" t="s">
        <v>53</v>
      </c>
      <c r="E14" s="21" t="s">
        <v>60</v>
      </c>
      <c r="F14" s="37" t="n">
        <v>435</v>
      </c>
      <c r="G14" s="38" t="n">
        <v>6.31</v>
      </c>
      <c r="H14" s="21" t="s">
        <v>279</v>
      </c>
      <c r="I14" s="21" t="str">
        <f aca="false">IF(AND(H14="Yes",F14&gt;0),"Yes","No")</f>
        <v>Yes</v>
      </c>
      <c r="J14" s="21" t="s">
        <v>62</v>
      </c>
      <c r="K14" s="21" t="s">
        <v>280</v>
      </c>
      <c r="L14" s="21"/>
    </row>
    <row r="15" customFormat="false" ht="15" hidden="false" customHeight="true" outlineLevel="0" collapsed="false">
      <c r="A15" s="21" t="s">
        <v>69</v>
      </c>
      <c r="B15" s="21" t="s">
        <v>70</v>
      </c>
      <c r="C15" s="21" t="s">
        <v>53</v>
      </c>
      <c r="D15" s="21" t="s">
        <v>87</v>
      </c>
      <c r="E15" s="21" t="s">
        <v>60</v>
      </c>
      <c r="F15" s="37" t="n">
        <v>0</v>
      </c>
      <c r="G15" s="38"/>
      <c r="H15" s="21" t="s">
        <v>279</v>
      </c>
      <c r="I15" s="21" t="str">
        <f aca="false">IF(AND(H15="Yes",F15&gt;0),"Yes","No")</f>
        <v>No</v>
      </c>
      <c r="J15" s="21" t="s">
        <v>62</v>
      </c>
      <c r="K15" s="21" t="s">
        <v>280</v>
      </c>
      <c r="L15" s="21" t="s">
        <v>281</v>
      </c>
    </row>
    <row r="16" customFormat="false" ht="15" hidden="false" customHeight="true" outlineLevel="0" collapsed="false">
      <c r="A16" s="21" t="s">
        <v>69</v>
      </c>
      <c r="B16" s="21" t="s">
        <v>70</v>
      </c>
      <c r="C16" s="21" t="s">
        <v>53</v>
      </c>
      <c r="D16" s="21" t="s">
        <v>103</v>
      </c>
      <c r="E16" s="21" t="s">
        <v>60</v>
      </c>
      <c r="F16" s="37" t="n">
        <v>764</v>
      </c>
      <c r="G16" s="38" t="n">
        <v>6.33</v>
      </c>
      <c r="H16" s="21" t="s">
        <v>279</v>
      </c>
      <c r="I16" s="21" t="str">
        <f aca="false">IF(AND(H16="Yes",F16&gt;0),"Yes","No")</f>
        <v>Yes</v>
      </c>
      <c r="J16" s="21" t="s">
        <v>62</v>
      </c>
      <c r="K16" s="21" t="s">
        <v>280</v>
      </c>
      <c r="L16" s="21"/>
    </row>
    <row r="17" customFormat="false" ht="15" hidden="false" customHeight="true" outlineLevel="0" collapsed="false">
      <c r="A17" s="21" t="s">
        <v>69</v>
      </c>
      <c r="B17" s="21" t="s">
        <v>70</v>
      </c>
      <c r="C17" s="21" t="s">
        <v>53</v>
      </c>
      <c r="D17" s="21" t="s">
        <v>116</v>
      </c>
      <c r="E17" s="21" t="s">
        <v>60</v>
      </c>
      <c r="F17" s="37" t="n">
        <v>1817</v>
      </c>
      <c r="G17" s="38" t="n">
        <v>6.52</v>
      </c>
      <c r="H17" s="21" t="s">
        <v>279</v>
      </c>
      <c r="I17" s="21" t="str">
        <f aca="false">IF(AND(H17="Yes",F17&gt;0),"Yes","No")</f>
        <v>Yes</v>
      </c>
      <c r="J17" s="21" t="s">
        <v>62</v>
      </c>
      <c r="K17" s="21" t="s">
        <v>280</v>
      </c>
      <c r="L17" s="21"/>
    </row>
    <row r="18" customFormat="false" ht="15" hidden="false" customHeight="true" outlineLevel="0" collapsed="false">
      <c r="A18" s="21" t="s">
        <v>69</v>
      </c>
      <c r="B18" s="21" t="s">
        <v>70</v>
      </c>
      <c r="C18" s="21" t="s">
        <v>53</v>
      </c>
      <c r="D18" s="21" t="s">
        <v>130</v>
      </c>
      <c r="E18" s="21" t="s">
        <v>60</v>
      </c>
      <c r="F18" s="37" t="n">
        <v>116</v>
      </c>
      <c r="G18" s="38" t="n">
        <v>6.27</v>
      </c>
      <c r="H18" s="21" t="s">
        <v>279</v>
      </c>
      <c r="I18" s="21" t="str">
        <f aca="false">IF(AND(H18="Yes",F18&gt;0),"Yes","No")</f>
        <v>Yes</v>
      </c>
      <c r="J18" s="21" t="s">
        <v>62</v>
      </c>
      <c r="K18" s="21" t="s">
        <v>280</v>
      </c>
      <c r="L18" s="21"/>
    </row>
    <row r="19" customFormat="false" ht="15" hidden="false" customHeight="true" outlineLevel="0" collapsed="false">
      <c r="A19" s="21" t="s">
        <v>69</v>
      </c>
      <c r="B19" s="21" t="s">
        <v>70</v>
      </c>
      <c r="C19" s="21" t="s">
        <v>53</v>
      </c>
      <c r="D19" s="21" t="s">
        <v>155</v>
      </c>
      <c r="E19" s="21" t="s">
        <v>60</v>
      </c>
      <c r="F19" s="37" t="n">
        <v>60</v>
      </c>
      <c r="G19" s="38" t="n">
        <v>6.6</v>
      </c>
      <c r="H19" s="21" t="s">
        <v>279</v>
      </c>
      <c r="I19" s="21" t="str">
        <f aca="false">IF(AND(H19="Yes",F19&gt;0),"Yes","No")</f>
        <v>Yes</v>
      </c>
      <c r="J19" s="21" t="s">
        <v>62</v>
      </c>
      <c r="K19" s="21" t="s">
        <v>280</v>
      </c>
      <c r="L19" s="21"/>
    </row>
    <row r="20" customFormat="false" ht="15" hidden="false" customHeight="true" outlineLevel="0" collapsed="false">
      <c r="A20" s="21" t="s">
        <v>69</v>
      </c>
      <c r="B20" s="21" t="s">
        <v>70</v>
      </c>
      <c r="C20" s="21" t="s">
        <v>53</v>
      </c>
      <c r="D20" s="21" t="s">
        <v>170</v>
      </c>
      <c r="E20" s="21" t="s">
        <v>60</v>
      </c>
      <c r="F20" s="37" t="n">
        <v>229</v>
      </c>
      <c r="G20" s="38" t="n">
        <v>6.41</v>
      </c>
      <c r="H20" s="21" t="s">
        <v>279</v>
      </c>
      <c r="I20" s="21" t="str">
        <f aca="false">IF(AND(H20="Yes",F20&gt;0),"Yes","No")</f>
        <v>Yes</v>
      </c>
      <c r="J20" s="21" t="s">
        <v>62</v>
      </c>
      <c r="K20" s="21" t="s">
        <v>280</v>
      </c>
      <c r="L20" s="21"/>
    </row>
    <row r="21" customFormat="false" ht="15" hidden="false" customHeight="true" outlineLevel="0" collapsed="false">
      <c r="A21" s="21" t="s">
        <v>75</v>
      </c>
      <c r="B21" s="21" t="s">
        <v>52</v>
      </c>
      <c r="C21" s="21" t="s">
        <v>53</v>
      </c>
      <c r="D21" s="21" t="s">
        <v>53</v>
      </c>
      <c r="E21" s="21" t="s">
        <v>60</v>
      </c>
      <c r="F21" s="37" t="n">
        <v>0</v>
      </c>
      <c r="G21" s="38"/>
      <c r="H21" s="21" t="s">
        <v>279</v>
      </c>
      <c r="I21" s="21" t="str">
        <f aca="false">IF(AND(H21="Yes",F21&gt;0),"Yes","No")</f>
        <v>No</v>
      </c>
      <c r="J21" s="21" t="s">
        <v>62</v>
      </c>
      <c r="K21" s="21" t="s">
        <v>280</v>
      </c>
      <c r="L21" s="21" t="s">
        <v>282</v>
      </c>
    </row>
    <row r="22" customFormat="false" ht="15" hidden="false" customHeight="true" outlineLevel="0" collapsed="false">
      <c r="A22" s="21" t="s">
        <v>80</v>
      </c>
      <c r="B22" s="21" t="s">
        <v>81</v>
      </c>
      <c r="C22" s="21" t="s">
        <v>53</v>
      </c>
      <c r="D22" s="21" t="s">
        <v>53</v>
      </c>
      <c r="E22" s="21" t="s">
        <v>85</v>
      </c>
      <c r="F22" s="37" t="n">
        <v>0</v>
      </c>
      <c r="G22" s="38"/>
      <c r="H22" s="21" t="s">
        <v>279</v>
      </c>
      <c r="I22" s="21" t="str">
        <f aca="false">IF(AND(H22="Yes",F22&gt;0),"Yes","No")</f>
        <v>No</v>
      </c>
      <c r="J22" s="21" t="s">
        <v>62</v>
      </c>
      <c r="K22" s="21" t="s">
        <v>280</v>
      </c>
      <c r="L22" s="21" t="s">
        <v>283</v>
      </c>
    </row>
    <row r="23" customFormat="false" ht="15" hidden="false" customHeight="true" outlineLevel="0" collapsed="false">
      <c r="A23" s="21" t="s">
        <v>86</v>
      </c>
      <c r="B23" s="21" t="s">
        <v>70</v>
      </c>
      <c r="C23" s="21" t="s">
        <v>87</v>
      </c>
      <c r="D23" s="21" t="s">
        <v>87</v>
      </c>
      <c r="E23" s="21" t="s">
        <v>60</v>
      </c>
      <c r="F23" s="37" t="n">
        <v>1897</v>
      </c>
      <c r="G23" s="38" t="n">
        <v>6.46</v>
      </c>
      <c r="H23" s="21" t="s">
        <v>279</v>
      </c>
      <c r="I23" s="21" t="str">
        <f aca="false">IF(AND(H23="Yes",F23&gt;0),"Yes","No")</f>
        <v>Yes</v>
      </c>
      <c r="J23" s="21" t="s">
        <v>62</v>
      </c>
      <c r="K23" s="21" t="s">
        <v>280</v>
      </c>
      <c r="L23" s="21"/>
    </row>
    <row r="24" customFormat="false" ht="15" hidden="false" customHeight="true" outlineLevel="0" collapsed="false">
      <c r="A24" s="21" t="s">
        <v>86</v>
      </c>
      <c r="B24" s="21" t="s">
        <v>70</v>
      </c>
      <c r="C24" s="21" t="s">
        <v>87</v>
      </c>
      <c r="D24" s="21" t="s">
        <v>103</v>
      </c>
      <c r="E24" s="21" t="s">
        <v>60</v>
      </c>
      <c r="F24" s="37" t="n">
        <v>2535</v>
      </c>
      <c r="G24" s="38" t="n">
        <v>6.58</v>
      </c>
      <c r="H24" s="21" t="s">
        <v>279</v>
      </c>
      <c r="I24" s="21" t="str">
        <f aca="false">IF(AND(H24="Yes",F24&gt;0),"Yes","No")</f>
        <v>Yes</v>
      </c>
      <c r="J24" s="21" t="s">
        <v>62</v>
      </c>
      <c r="K24" s="21" t="s">
        <v>280</v>
      </c>
      <c r="L24" s="21"/>
    </row>
    <row r="25" customFormat="false" ht="15" hidden="false" customHeight="true" outlineLevel="0" collapsed="false">
      <c r="A25" s="21" t="s">
        <v>86</v>
      </c>
      <c r="B25" s="21" t="s">
        <v>70</v>
      </c>
      <c r="C25" s="21" t="s">
        <v>87</v>
      </c>
      <c r="D25" s="21" t="s">
        <v>116</v>
      </c>
      <c r="E25" s="21" t="s">
        <v>60</v>
      </c>
      <c r="F25" s="37" t="n">
        <v>3123</v>
      </c>
      <c r="G25" s="38" t="n">
        <v>6.52</v>
      </c>
      <c r="H25" s="21" t="s">
        <v>279</v>
      </c>
      <c r="I25" s="21" t="str">
        <f aca="false">IF(AND(H25="Yes",F25&gt;0),"Yes","No")</f>
        <v>Yes</v>
      </c>
      <c r="J25" s="21" t="s">
        <v>62</v>
      </c>
      <c r="K25" s="21" t="s">
        <v>280</v>
      </c>
      <c r="L25" s="21"/>
    </row>
    <row r="26" customFormat="false" ht="15" hidden="false" customHeight="true" outlineLevel="0" collapsed="false">
      <c r="A26" s="21" t="s">
        <v>86</v>
      </c>
      <c r="B26" s="21" t="s">
        <v>70</v>
      </c>
      <c r="C26" s="21" t="s">
        <v>87</v>
      </c>
      <c r="D26" s="21" t="s">
        <v>130</v>
      </c>
      <c r="E26" s="21" t="s">
        <v>60</v>
      </c>
      <c r="F26" s="37" t="n">
        <v>1978</v>
      </c>
      <c r="G26" s="38" t="n">
        <v>6.99</v>
      </c>
      <c r="H26" s="21" t="s">
        <v>279</v>
      </c>
      <c r="I26" s="21" t="str">
        <f aca="false">IF(AND(H26="Yes",F26&gt;0),"Yes","No")</f>
        <v>Yes</v>
      </c>
      <c r="J26" s="21" t="s">
        <v>62</v>
      </c>
      <c r="K26" s="21" t="s">
        <v>280</v>
      </c>
      <c r="L26" s="21"/>
    </row>
    <row r="27" customFormat="false" ht="15" hidden="false" customHeight="true" outlineLevel="0" collapsed="false">
      <c r="A27" s="21" t="s">
        <v>90</v>
      </c>
      <c r="B27" s="21" t="s">
        <v>70</v>
      </c>
      <c r="C27" s="21" t="s">
        <v>87</v>
      </c>
      <c r="D27" s="21" t="s">
        <v>87</v>
      </c>
      <c r="E27" s="21" t="s">
        <v>60</v>
      </c>
      <c r="F27" s="37" t="n">
        <v>1410</v>
      </c>
      <c r="G27" s="38" t="n">
        <v>6.47</v>
      </c>
      <c r="H27" s="21" t="s">
        <v>279</v>
      </c>
      <c r="I27" s="21" t="str">
        <f aca="false">IF(AND(H27="Yes",F27&gt;0),"Yes","No")</f>
        <v>Yes</v>
      </c>
      <c r="J27" s="21" t="s">
        <v>62</v>
      </c>
      <c r="K27" s="21" t="s">
        <v>280</v>
      </c>
      <c r="L27" s="21"/>
    </row>
    <row r="28" customFormat="false" ht="15" hidden="false" customHeight="true" outlineLevel="0" collapsed="false">
      <c r="A28" s="21" t="s">
        <v>90</v>
      </c>
      <c r="B28" s="21" t="s">
        <v>70</v>
      </c>
      <c r="C28" s="21" t="s">
        <v>87</v>
      </c>
      <c r="D28" s="21" t="s">
        <v>103</v>
      </c>
      <c r="E28" s="21" t="s">
        <v>60</v>
      </c>
      <c r="F28" s="37" t="n">
        <v>650</v>
      </c>
      <c r="G28" s="38" t="n">
        <v>6.02</v>
      </c>
      <c r="H28" s="21" t="s">
        <v>279</v>
      </c>
      <c r="I28" s="21" t="str">
        <f aca="false">IF(AND(H28="Yes",F28&gt;0),"Yes","No")</f>
        <v>Yes</v>
      </c>
      <c r="J28" s="21" t="s">
        <v>62</v>
      </c>
      <c r="K28" s="21" t="s">
        <v>280</v>
      </c>
      <c r="L28" s="21"/>
    </row>
    <row r="29" customFormat="false" ht="15" hidden="false" customHeight="true" outlineLevel="0" collapsed="false">
      <c r="A29" s="21" t="s">
        <v>90</v>
      </c>
      <c r="B29" s="21" t="s">
        <v>70</v>
      </c>
      <c r="C29" s="21" t="s">
        <v>87</v>
      </c>
      <c r="D29" s="21" t="s">
        <v>116</v>
      </c>
      <c r="E29" s="21" t="s">
        <v>60</v>
      </c>
      <c r="F29" s="37" t="n">
        <v>0</v>
      </c>
      <c r="G29" s="38"/>
      <c r="H29" s="21" t="s">
        <v>279</v>
      </c>
      <c r="I29" s="21" t="str">
        <f aca="false">IF(AND(H29="Yes",F29&gt;0),"Yes","No")</f>
        <v>No</v>
      </c>
      <c r="J29" s="21" t="s">
        <v>62</v>
      </c>
      <c r="K29" s="21" t="s">
        <v>280</v>
      </c>
      <c r="L29" s="21" t="s">
        <v>284</v>
      </c>
    </row>
    <row r="30" customFormat="false" ht="15" hidden="false" customHeight="true" outlineLevel="0" collapsed="false">
      <c r="A30" s="21" t="s">
        <v>94</v>
      </c>
      <c r="B30" s="21" t="s">
        <v>64</v>
      </c>
      <c r="C30" s="21" t="s">
        <v>87</v>
      </c>
      <c r="D30" s="21" t="s">
        <v>87</v>
      </c>
      <c r="E30" s="21" t="s">
        <v>60</v>
      </c>
      <c r="F30" s="37" t="n">
        <v>26</v>
      </c>
      <c r="G30" s="38" t="n">
        <v>5.87</v>
      </c>
      <c r="H30" s="21" t="s">
        <v>279</v>
      </c>
      <c r="I30" s="21" t="str">
        <f aca="false">IF(AND(H30="Yes",F30&gt;0),"Yes","No")</f>
        <v>Yes</v>
      </c>
      <c r="J30" s="21" t="s">
        <v>62</v>
      </c>
      <c r="K30" s="21" t="s">
        <v>280</v>
      </c>
      <c r="L30" s="21"/>
    </row>
    <row r="31" customFormat="false" ht="15" hidden="false" customHeight="true" outlineLevel="0" collapsed="false">
      <c r="A31" s="21" t="s">
        <v>98</v>
      </c>
      <c r="B31" s="21" t="s">
        <v>81</v>
      </c>
      <c r="C31" s="21" t="s">
        <v>87</v>
      </c>
      <c r="D31" s="21" t="s">
        <v>87</v>
      </c>
      <c r="E31" s="21" t="s">
        <v>85</v>
      </c>
      <c r="F31" s="37" t="n">
        <v>20</v>
      </c>
      <c r="G31" s="38" t="n">
        <v>6.44</v>
      </c>
      <c r="H31" s="21" t="s">
        <v>279</v>
      </c>
      <c r="I31" s="21" t="str">
        <f aca="false">IF(AND(H31="Yes",F31&gt;0),"Yes","No")</f>
        <v>Yes</v>
      </c>
      <c r="J31" s="21" t="s">
        <v>62</v>
      </c>
      <c r="K31" s="21" t="s">
        <v>280</v>
      </c>
      <c r="L31" s="21"/>
    </row>
    <row r="32" customFormat="false" ht="15" hidden="false" customHeight="true" outlineLevel="0" collapsed="false">
      <c r="A32" s="21" t="s">
        <v>98</v>
      </c>
      <c r="B32" s="21" t="s">
        <v>81</v>
      </c>
      <c r="C32" s="21" t="s">
        <v>87</v>
      </c>
      <c r="D32" s="21" t="s">
        <v>103</v>
      </c>
      <c r="E32" s="21" t="s">
        <v>85</v>
      </c>
      <c r="F32" s="37" t="n">
        <v>35</v>
      </c>
      <c r="G32" s="38" t="n">
        <v>6.46</v>
      </c>
      <c r="H32" s="21" t="s">
        <v>279</v>
      </c>
      <c r="I32" s="21" t="str">
        <f aca="false">IF(AND(H32="Yes",F32&gt;0),"Yes","No")</f>
        <v>Yes</v>
      </c>
      <c r="J32" s="21" t="s">
        <v>62</v>
      </c>
      <c r="K32" s="21" t="s">
        <v>280</v>
      </c>
      <c r="L32" s="21"/>
    </row>
    <row r="33" customFormat="false" ht="15" hidden="false" customHeight="true" outlineLevel="0" collapsed="false">
      <c r="A33" s="21" t="s">
        <v>98</v>
      </c>
      <c r="B33" s="21" t="s">
        <v>81</v>
      </c>
      <c r="C33" s="21" t="s">
        <v>87</v>
      </c>
      <c r="D33" s="21" t="s">
        <v>116</v>
      </c>
      <c r="E33" s="21" t="s">
        <v>85</v>
      </c>
      <c r="F33" s="37" t="n">
        <v>37</v>
      </c>
      <c r="G33" s="38" t="n">
        <v>6.13</v>
      </c>
      <c r="H33" s="21" t="s">
        <v>279</v>
      </c>
      <c r="I33" s="21" t="str">
        <f aca="false">IF(AND(H33="Yes",F33&gt;0),"Yes","No")</f>
        <v>Yes</v>
      </c>
      <c r="J33" s="21" t="s">
        <v>62</v>
      </c>
      <c r="K33" s="21" t="s">
        <v>280</v>
      </c>
      <c r="L33" s="21"/>
    </row>
    <row r="34" customFormat="false" ht="15" hidden="false" customHeight="true" outlineLevel="0" collapsed="false">
      <c r="A34" s="21" t="s">
        <v>98</v>
      </c>
      <c r="B34" s="21" t="s">
        <v>81</v>
      </c>
      <c r="C34" s="21" t="s">
        <v>87</v>
      </c>
      <c r="D34" s="21" t="s">
        <v>130</v>
      </c>
      <c r="E34" s="21" t="s">
        <v>85</v>
      </c>
      <c r="F34" s="37" t="n">
        <v>30</v>
      </c>
      <c r="G34" s="38" t="n">
        <v>6.65</v>
      </c>
      <c r="H34" s="21" t="s">
        <v>279</v>
      </c>
      <c r="I34" s="21" t="str">
        <f aca="false">IF(AND(H34="Yes",F34&gt;0),"Yes","No")</f>
        <v>Yes</v>
      </c>
      <c r="J34" s="21" t="s">
        <v>62</v>
      </c>
      <c r="K34" s="21" t="s">
        <v>280</v>
      </c>
      <c r="L34" s="21"/>
    </row>
    <row r="35" customFormat="false" ht="15" hidden="false" customHeight="true" outlineLevel="0" collapsed="false">
      <c r="A35" s="21" t="s">
        <v>98</v>
      </c>
      <c r="B35" s="21" t="s">
        <v>81</v>
      </c>
      <c r="C35" s="21" t="s">
        <v>87</v>
      </c>
      <c r="D35" s="21" t="s">
        <v>155</v>
      </c>
      <c r="E35" s="21" t="s">
        <v>85</v>
      </c>
      <c r="F35" s="37" t="n">
        <v>27</v>
      </c>
      <c r="G35" s="38" t="n">
        <v>6.66</v>
      </c>
      <c r="H35" s="21" t="s">
        <v>279</v>
      </c>
      <c r="I35" s="21" t="str">
        <f aca="false">IF(AND(H35="Yes",F35&gt;0),"Yes","No")</f>
        <v>Yes</v>
      </c>
      <c r="J35" s="21" t="s">
        <v>62</v>
      </c>
      <c r="K35" s="21" t="s">
        <v>280</v>
      </c>
      <c r="L35" s="21"/>
    </row>
    <row r="36" customFormat="false" ht="15" hidden="false" customHeight="true" outlineLevel="0" collapsed="false">
      <c r="A36" s="21" t="s">
        <v>102</v>
      </c>
      <c r="B36" s="21" t="s">
        <v>70</v>
      </c>
      <c r="C36" s="21" t="s">
        <v>103</v>
      </c>
      <c r="D36" s="21" t="s">
        <v>103</v>
      </c>
      <c r="E36" s="21" t="s">
        <v>60</v>
      </c>
      <c r="F36" s="37" t="n">
        <v>1672</v>
      </c>
      <c r="G36" s="38" t="n">
        <v>6.42</v>
      </c>
      <c r="H36" s="21" t="s">
        <v>279</v>
      </c>
      <c r="I36" s="21" t="str">
        <f aca="false">IF(AND(H36="Yes",F36&gt;0),"Yes","No")</f>
        <v>Yes</v>
      </c>
      <c r="J36" s="21" t="s">
        <v>62</v>
      </c>
      <c r="K36" s="21" t="s">
        <v>280</v>
      </c>
      <c r="L36" s="21"/>
    </row>
    <row r="37" customFormat="false" ht="15" hidden="false" customHeight="true" outlineLevel="0" collapsed="false">
      <c r="A37" s="21" t="s">
        <v>102</v>
      </c>
      <c r="B37" s="21" t="s">
        <v>70</v>
      </c>
      <c r="C37" s="21" t="s">
        <v>103</v>
      </c>
      <c r="D37" s="21" t="s">
        <v>116</v>
      </c>
      <c r="E37" s="21" t="s">
        <v>60</v>
      </c>
      <c r="F37" s="37" t="n">
        <v>823</v>
      </c>
      <c r="G37" s="38" t="n">
        <v>6.48</v>
      </c>
      <c r="H37" s="21" t="s">
        <v>279</v>
      </c>
      <c r="I37" s="21" t="str">
        <f aca="false">IF(AND(H37="Yes",F37&gt;0),"Yes","No")</f>
        <v>Yes</v>
      </c>
      <c r="J37" s="21" t="s">
        <v>62</v>
      </c>
      <c r="K37" s="21" t="s">
        <v>280</v>
      </c>
      <c r="L37" s="21"/>
    </row>
    <row r="38" customFormat="false" ht="15" hidden="false" customHeight="true" outlineLevel="0" collapsed="false">
      <c r="A38" s="21" t="s">
        <v>106</v>
      </c>
      <c r="B38" s="21" t="s">
        <v>64</v>
      </c>
      <c r="C38" s="21" t="s">
        <v>103</v>
      </c>
      <c r="D38" s="21" t="s">
        <v>103</v>
      </c>
      <c r="E38" s="21" t="s">
        <v>60</v>
      </c>
      <c r="F38" s="37" t="n">
        <v>3160</v>
      </c>
      <c r="G38" s="38" t="n">
        <v>6.48</v>
      </c>
      <c r="H38" s="21" t="s">
        <v>279</v>
      </c>
      <c r="I38" s="21" t="str">
        <f aca="false">IF(AND(H38="Yes",F38&gt;0),"Yes","No")</f>
        <v>Yes</v>
      </c>
      <c r="J38" s="21" t="s">
        <v>62</v>
      </c>
      <c r="K38" s="21" t="s">
        <v>280</v>
      </c>
      <c r="L38" s="21" t="s">
        <v>285</v>
      </c>
    </row>
    <row r="39" customFormat="false" ht="15" hidden="false" customHeight="true" outlineLevel="0" collapsed="false">
      <c r="A39" s="21" t="s">
        <v>106</v>
      </c>
      <c r="B39" s="21" t="s">
        <v>64</v>
      </c>
      <c r="C39" s="21" t="s">
        <v>103</v>
      </c>
      <c r="D39" s="21" t="s">
        <v>116</v>
      </c>
      <c r="E39" s="21" t="s">
        <v>60</v>
      </c>
      <c r="F39" s="37" t="n">
        <v>2097</v>
      </c>
      <c r="G39" s="38" t="n">
        <v>6.38</v>
      </c>
      <c r="H39" s="21" t="s">
        <v>279</v>
      </c>
      <c r="I39" s="21" t="str">
        <f aca="false">IF(AND(H39="Yes",F39&gt;0),"Yes","No")</f>
        <v>Yes</v>
      </c>
      <c r="J39" s="21" t="s">
        <v>62</v>
      </c>
      <c r="K39" s="21" t="s">
        <v>280</v>
      </c>
      <c r="L39" s="21" t="s">
        <v>285</v>
      </c>
    </row>
    <row r="40" customFormat="false" ht="15" hidden="false" customHeight="true" outlineLevel="0" collapsed="false">
      <c r="A40" s="21" t="s">
        <v>106</v>
      </c>
      <c r="B40" s="21" t="s">
        <v>64</v>
      </c>
      <c r="C40" s="21" t="s">
        <v>103</v>
      </c>
      <c r="D40" s="21" t="s">
        <v>130</v>
      </c>
      <c r="E40" s="21" t="s">
        <v>60</v>
      </c>
      <c r="F40" s="37" t="n">
        <v>2023</v>
      </c>
      <c r="G40" s="38" t="n">
        <v>6.75</v>
      </c>
      <c r="H40" s="21" t="s">
        <v>279</v>
      </c>
      <c r="I40" s="21" t="str">
        <f aca="false">IF(AND(H40="Yes",F40&gt;0),"Yes","No")</f>
        <v>Yes</v>
      </c>
      <c r="J40" s="21" t="s">
        <v>62</v>
      </c>
      <c r="K40" s="21" t="s">
        <v>280</v>
      </c>
      <c r="L40" s="21" t="s">
        <v>285</v>
      </c>
    </row>
    <row r="41" customFormat="false" ht="15" hidden="false" customHeight="true" outlineLevel="0" collapsed="false">
      <c r="A41" s="21" t="s">
        <v>106</v>
      </c>
      <c r="B41" s="21" t="s">
        <v>64</v>
      </c>
      <c r="C41" s="21" t="s">
        <v>103</v>
      </c>
      <c r="D41" s="21" t="s">
        <v>155</v>
      </c>
      <c r="E41" s="21" t="s">
        <v>60</v>
      </c>
      <c r="F41" s="37" t="n">
        <v>2720</v>
      </c>
      <c r="G41" s="38" t="n">
        <v>6.84</v>
      </c>
      <c r="H41" s="21" t="s">
        <v>279</v>
      </c>
      <c r="I41" s="21" t="str">
        <f aca="false">IF(AND(H41="Yes",F41&gt;0),"Yes","No")</f>
        <v>Yes</v>
      </c>
      <c r="J41" s="21" t="s">
        <v>62</v>
      </c>
      <c r="K41" s="21" t="s">
        <v>280</v>
      </c>
      <c r="L41" s="21" t="s">
        <v>285</v>
      </c>
    </row>
    <row r="42" customFormat="false" ht="15" hidden="false" customHeight="true" outlineLevel="0" collapsed="false">
      <c r="A42" s="21" t="s">
        <v>106</v>
      </c>
      <c r="B42" s="21" t="s">
        <v>64</v>
      </c>
      <c r="C42" s="21" t="s">
        <v>103</v>
      </c>
      <c r="D42" s="21" t="s">
        <v>170</v>
      </c>
      <c r="E42" s="21" t="s">
        <v>60</v>
      </c>
      <c r="F42" s="37" t="n">
        <v>2594</v>
      </c>
      <c r="G42" s="38" t="n">
        <v>7</v>
      </c>
      <c r="H42" s="21" t="s">
        <v>279</v>
      </c>
      <c r="I42" s="21" t="str">
        <f aca="false">IF(AND(H42="Yes",F42&gt;0),"Yes","No")</f>
        <v>Yes</v>
      </c>
      <c r="J42" s="21" t="s">
        <v>62</v>
      </c>
      <c r="K42" s="21" t="s">
        <v>280</v>
      </c>
      <c r="L42" s="21" t="s">
        <v>285</v>
      </c>
    </row>
    <row r="43" customFormat="false" ht="15" hidden="false" customHeight="true" outlineLevel="0" collapsed="false">
      <c r="A43" s="21" t="s">
        <v>109</v>
      </c>
      <c r="B43" s="21" t="s">
        <v>52</v>
      </c>
      <c r="C43" s="21" t="s">
        <v>103</v>
      </c>
      <c r="D43" s="21" t="s">
        <v>103</v>
      </c>
      <c r="E43" s="21" t="s">
        <v>60</v>
      </c>
      <c r="F43" s="37" t="n">
        <v>2168</v>
      </c>
      <c r="G43" s="38" t="n">
        <v>6.54</v>
      </c>
      <c r="H43" s="21" t="s">
        <v>279</v>
      </c>
      <c r="I43" s="21" t="str">
        <f aca="false">IF(AND(H43="Yes",F43&gt;0),"Yes","No")</f>
        <v>Yes</v>
      </c>
      <c r="J43" s="21" t="s">
        <v>62</v>
      </c>
      <c r="K43" s="21" t="s">
        <v>280</v>
      </c>
      <c r="L43" s="21"/>
    </row>
    <row r="44" customFormat="false" ht="15" hidden="false" customHeight="true" outlineLevel="0" collapsed="false">
      <c r="A44" s="21" t="s">
        <v>109</v>
      </c>
      <c r="B44" s="21" t="s">
        <v>52</v>
      </c>
      <c r="C44" s="21" t="s">
        <v>103</v>
      </c>
      <c r="D44" s="21" t="s">
        <v>116</v>
      </c>
      <c r="E44" s="21" t="s">
        <v>60</v>
      </c>
      <c r="F44" s="37" t="n">
        <v>1800</v>
      </c>
      <c r="G44" s="38" t="n">
        <v>6.37</v>
      </c>
      <c r="H44" s="21" t="s">
        <v>279</v>
      </c>
      <c r="I44" s="21" t="str">
        <f aca="false">IF(AND(H44="Yes",F44&gt;0),"Yes","No")</f>
        <v>Yes</v>
      </c>
      <c r="J44" s="21" t="s">
        <v>62</v>
      </c>
      <c r="K44" s="21" t="s">
        <v>280</v>
      </c>
      <c r="L44" s="21"/>
    </row>
    <row r="45" customFormat="false" ht="15" hidden="false" customHeight="true" outlineLevel="0" collapsed="false">
      <c r="A45" s="21" t="s">
        <v>112</v>
      </c>
      <c r="B45" s="21" t="s">
        <v>81</v>
      </c>
      <c r="C45" s="21" t="s">
        <v>103</v>
      </c>
      <c r="D45" s="21" t="s">
        <v>103</v>
      </c>
      <c r="E45" s="21" t="s">
        <v>85</v>
      </c>
      <c r="F45" s="37" t="n">
        <v>0</v>
      </c>
      <c r="G45" s="38"/>
      <c r="H45" s="21" t="s">
        <v>279</v>
      </c>
      <c r="I45" s="21" t="str">
        <f aca="false">IF(AND(H45="Yes",F45&gt;0),"Yes","No")</f>
        <v>No</v>
      </c>
      <c r="J45" s="21" t="s">
        <v>62</v>
      </c>
      <c r="K45" s="21" t="s">
        <v>280</v>
      </c>
      <c r="L45" s="21" t="s">
        <v>283</v>
      </c>
    </row>
    <row r="46" customFormat="false" ht="15" hidden="false" customHeight="true" outlineLevel="0" collapsed="false">
      <c r="A46" s="21" t="s">
        <v>115</v>
      </c>
      <c r="B46" s="21" t="s">
        <v>70</v>
      </c>
      <c r="C46" s="21" t="s">
        <v>116</v>
      </c>
      <c r="D46" s="21" t="s">
        <v>116</v>
      </c>
      <c r="E46" s="21" t="s">
        <v>60</v>
      </c>
      <c r="F46" s="37" t="n">
        <v>2562</v>
      </c>
      <c r="G46" s="38" t="n">
        <v>6.92</v>
      </c>
      <c r="H46" s="21" t="s">
        <v>279</v>
      </c>
      <c r="I46" s="21" t="str">
        <f aca="false">IF(AND(H46="Yes",F46&gt;0),"Yes","No")</f>
        <v>Yes</v>
      </c>
      <c r="J46" s="21" t="s">
        <v>62</v>
      </c>
      <c r="K46" s="21" t="s">
        <v>280</v>
      </c>
      <c r="L46" s="21"/>
    </row>
    <row r="47" customFormat="false" ht="15" hidden="false" customHeight="true" outlineLevel="0" collapsed="false">
      <c r="A47" s="21" t="s">
        <v>115</v>
      </c>
      <c r="B47" s="21" t="s">
        <v>70</v>
      </c>
      <c r="C47" s="21" t="s">
        <v>116</v>
      </c>
      <c r="D47" s="21" t="s">
        <v>130</v>
      </c>
      <c r="E47" s="21" t="s">
        <v>60</v>
      </c>
      <c r="F47" s="37" t="n">
        <v>602</v>
      </c>
      <c r="G47" s="38" t="n">
        <v>6.85</v>
      </c>
      <c r="H47" s="21" t="s">
        <v>279</v>
      </c>
      <c r="I47" s="21" t="str">
        <f aca="false">IF(AND(H47="Yes",F47&gt;0),"Yes","No")</f>
        <v>Yes</v>
      </c>
      <c r="J47" s="21" t="s">
        <v>62</v>
      </c>
      <c r="K47" s="21" t="s">
        <v>280</v>
      </c>
      <c r="L47" s="21"/>
    </row>
    <row r="48" customFormat="false" ht="15" hidden="false" customHeight="true" outlineLevel="0" collapsed="false">
      <c r="A48" s="21" t="s">
        <v>115</v>
      </c>
      <c r="B48" s="21" t="s">
        <v>70</v>
      </c>
      <c r="C48" s="21" t="s">
        <v>116</v>
      </c>
      <c r="D48" s="21" t="s">
        <v>155</v>
      </c>
      <c r="E48" s="21" t="s">
        <v>60</v>
      </c>
      <c r="F48" s="37" t="n">
        <v>2642</v>
      </c>
      <c r="G48" s="38" t="n">
        <v>7.27</v>
      </c>
      <c r="H48" s="21" t="s">
        <v>279</v>
      </c>
      <c r="I48" s="21" t="str">
        <f aca="false">IF(AND(H48="Yes",F48&gt;0),"Yes","No")</f>
        <v>Yes</v>
      </c>
      <c r="J48" s="21" t="s">
        <v>62</v>
      </c>
      <c r="K48" s="21" t="s">
        <v>280</v>
      </c>
      <c r="L48" s="21"/>
    </row>
    <row r="49" customFormat="false" ht="15" hidden="false" customHeight="true" outlineLevel="0" collapsed="false">
      <c r="A49" s="21" t="s">
        <v>115</v>
      </c>
      <c r="B49" s="21" t="s">
        <v>70</v>
      </c>
      <c r="C49" s="21" t="s">
        <v>116</v>
      </c>
      <c r="D49" s="21" t="s">
        <v>170</v>
      </c>
      <c r="E49" s="21" t="s">
        <v>60</v>
      </c>
      <c r="F49" s="37" t="n">
        <v>2065</v>
      </c>
      <c r="G49" s="38" t="n">
        <v>7.6</v>
      </c>
      <c r="H49" s="21" t="s">
        <v>279</v>
      </c>
      <c r="I49" s="21" t="str">
        <f aca="false">IF(AND(H49="Yes",F49&gt;0),"Yes","No")</f>
        <v>Yes</v>
      </c>
      <c r="J49" s="21" t="s">
        <v>62</v>
      </c>
      <c r="K49" s="21" t="s">
        <v>280</v>
      </c>
      <c r="L49" s="21"/>
    </row>
    <row r="50" customFormat="false" ht="15" hidden="false" customHeight="true" outlineLevel="0" collapsed="false">
      <c r="A50" s="21" t="s">
        <v>115</v>
      </c>
      <c r="B50" s="21" t="s">
        <v>70</v>
      </c>
      <c r="C50" s="21" t="s">
        <v>116</v>
      </c>
      <c r="D50" s="21" t="s">
        <v>189</v>
      </c>
      <c r="E50" s="21" t="s">
        <v>60</v>
      </c>
      <c r="F50" s="37" t="n">
        <v>2600</v>
      </c>
      <c r="G50" s="38" t="n">
        <v>7.4</v>
      </c>
      <c r="H50" s="21" t="s">
        <v>279</v>
      </c>
      <c r="I50" s="21" t="str">
        <f aca="false">IF(AND(H50="Yes",F50&gt;0),"Yes","No")</f>
        <v>Yes</v>
      </c>
      <c r="J50" s="21" t="s">
        <v>62</v>
      </c>
      <c r="K50" s="21" t="s">
        <v>280</v>
      </c>
      <c r="L50" s="21"/>
    </row>
    <row r="51" customFormat="false" ht="15" hidden="false" customHeight="true" outlineLevel="0" collapsed="false">
      <c r="A51" s="21" t="s">
        <v>120</v>
      </c>
      <c r="B51" s="21" t="s">
        <v>81</v>
      </c>
      <c r="C51" s="21" t="s">
        <v>116</v>
      </c>
      <c r="D51" s="21" t="s">
        <v>116</v>
      </c>
      <c r="E51" s="21" t="s">
        <v>85</v>
      </c>
      <c r="F51" s="37" t="n">
        <v>1</v>
      </c>
      <c r="G51" s="38" t="n">
        <v>6.38</v>
      </c>
      <c r="H51" s="21" t="s">
        <v>279</v>
      </c>
      <c r="I51" s="21" t="str">
        <f aca="false">IF(AND(H51="Yes",F51&gt;0),"Yes","No")</f>
        <v>Yes</v>
      </c>
      <c r="J51" s="21" t="s">
        <v>62</v>
      </c>
      <c r="K51" s="21" t="s">
        <v>280</v>
      </c>
      <c r="L51" s="21"/>
    </row>
    <row r="52" customFormat="false" ht="15" hidden="false" customHeight="true" outlineLevel="0" collapsed="false">
      <c r="A52" s="21" t="s">
        <v>120</v>
      </c>
      <c r="B52" s="21" t="s">
        <v>81</v>
      </c>
      <c r="C52" s="21" t="s">
        <v>116</v>
      </c>
      <c r="D52" s="21" t="s">
        <v>130</v>
      </c>
      <c r="E52" s="21" t="s">
        <v>85</v>
      </c>
      <c r="F52" s="37" t="n">
        <v>9</v>
      </c>
      <c r="G52" s="38" t="n">
        <v>6.26</v>
      </c>
      <c r="H52" s="21" t="s">
        <v>279</v>
      </c>
      <c r="I52" s="21" t="str">
        <f aca="false">IF(AND(H52="Yes",F52&gt;0),"Yes","No")</f>
        <v>Yes</v>
      </c>
      <c r="J52" s="21" t="s">
        <v>62</v>
      </c>
      <c r="K52" s="21" t="s">
        <v>280</v>
      </c>
      <c r="L52" s="21"/>
    </row>
    <row r="53" customFormat="false" ht="15" hidden="false" customHeight="true" outlineLevel="0" collapsed="false">
      <c r="A53" s="21" t="s">
        <v>122</v>
      </c>
      <c r="B53" s="21" t="s">
        <v>52</v>
      </c>
      <c r="C53" s="21" t="s">
        <v>116</v>
      </c>
      <c r="D53" s="21" t="s">
        <v>116</v>
      </c>
      <c r="E53" s="21" t="s">
        <v>60</v>
      </c>
      <c r="F53" s="37" t="n">
        <v>1147</v>
      </c>
      <c r="G53" s="38" t="n">
        <v>6.37</v>
      </c>
      <c r="H53" s="21" t="s">
        <v>279</v>
      </c>
      <c r="I53" s="21" t="str">
        <f aca="false">IF(AND(H53="Yes",F53&gt;0),"Yes","No")</f>
        <v>Yes</v>
      </c>
      <c r="J53" s="21" t="s">
        <v>62</v>
      </c>
      <c r="K53" s="21" t="s">
        <v>280</v>
      </c>
      <c r="L53" s="21"/>
    </row>
    <row r="54" customFormat="false" ht="15" hidden="false" customHeight="true" outlineLevel="0" collapsed="false">
      <c r="A54" s="21" t="s">
        <v>122</v>
      </c>
      <c r="B54" s="21" t="s">
        <v>52</v>
      </c>
      <c r="C54" s="21" t="s">
        <v>116</v>
      </c>
      <c r="D54" s="21" t="s">
        <v>130</v>
      </c>
      <c r="E54" s="21" t="s">
        <v>60</v>
      </c>
      <c r="F54" s="37" t="n">
        <v>1351</v>
      </c>
      <c r="G54" s="38" t="n">
        <v>6.97</v>
      </c>
      <c r="H54" s="21" t="s">
        <v>279</v>
      </c>
      <c r="I54" s="21" t="str">
        <f aca="false">IF(AND(H54="Yes",F54&gt;0),"Yes","No")</f>
        <v>Yes</v>
      </c>
      <c r="J54" s="21" t="s">
        <v>62</v>
      </c>
      <c r="K54" s="21" t="s">
        <v>280</v>
      </c>
      <c r="L54" s="21"/>
    </row>
    <row r="55" customFormat="false" ht="15" hidden="false" customHeight="true" outlineLevel="0" collapsed="false">
      <c r="A55" s="21" t="s">
        <v>122</v>
      </c>
      <c r="B55" s="21" t="s">
        <v>52</v>
      </c>
      <c r="C55" s="21" t="s">
        <v>116</v>
      </c>
      <c r="D55" s="21" t="s">
        <v>155</v>
      </c>
      <c r="E55" s="21" t="s">
        <v>60</v>
      </c>
      <c r="F55" s="37" t="n">
        <v>1642</v>
      </c>
      <c r="G55" s="38" t="n">
        <v>6.6</v>
      </c>
      <c r="H55" s="21" t="s">
        <v>279</v>
      </c>
      <c r="I55" s="21" t="str">
        <f aca="false">IF(AND(H55="Yes",F55&gt;0),"Yes","No")</f>
        <v>Yes</v>
      </c>
      <c r="J55" s="21" t="s">
        <v>62</v>
      </c>
      <c r="K55" s="21" t="s">
        <v>280</v>
      </c>
      <c r="L55" s="21"/>
    </row>
    <row r="56" customFormat="false" ht="15" hidden="false" customHeight="true" outlineLevel="0" collapsed="false">
      <c r="A56" s="21" t="s">
        <v>122</v>
      </c>
      <c r="B56" s="21" t="s">
        <v>52</v>
      </c>
      <c r="C56" s="21" t="s">
        <v>116</v>
      </c>
      <c r="D56" s="21" t="s">
        <v>170</v>
      </c>
      <c r="E56" s="21" t="s">
        <v>60</v>
      </c>
      <c r="F56" s="37" t="n">
        <v>1337</v>
      </c>
      <c r="G56" s="38" t="n">
        <v>6.82</v>
      </c>
      <c r="H56" s="21" t="s">
        <v>279</v>
      </c>
      <c r="I56" s="21" t="str">
        <f aca="false">IF(AND(H56="Yes",F56&gt;0),"Yes","No")</f>
        <v>Yes</v>
      </c>
      <c r="J56" s="21" t="s">
        <v>62</v>
      </c>
      <c r="K56" s="21" t="s">
        <v>280</v>
      </c>
      <c r="L56" s="21"/>
    </row>
    <row r="57" customFormat="false" ht="15" hidden="false" customHeight="true" outlineLevel="0" collapsed="false">
      <c r="A57" s="21" t="s">
        <v>122</v>
      </c>
      <c r="B57" s="21" t="s">
        <v>52</v>
      </c>
      <c r="C57" s="21" t="s">
        <v>116</v>
      </c>
      <c r="D57" s="21" t="s">
        <v>189</v>
      </c>
      <c r="E57" s="21" t="s">
        <v>60</v>
      </c>
      <c r="F57" s="37" t="n">
        <v>481</v>
      </c>
      <c r="G57" s="38" t="n">
        <v>6.22</v>
      </c>
      <c r="H57" s="21" t="s">
        <v>279</v>
      </c>
      <c r="I57" s="21" t="str">
        <f aca="false">IF(AND(H57="Yes",F57&gt;0),"Yes","No")</f>
        <v>Yes</v>
      </c>
      <c r="J57" s="21" t="s">
        <v>62</v>
      </c>
      <c r="K57" s="21" t="s">
        <v>280</v>
      </c>
      <c r="L57" s="21"/>
    </row>
    <row r="58" customFormat="false" ht="15" hidden="false" customHeight="true" outlineLevel="0" collapsed="false">
      <c r="A58" s="21" t="s">
        <v>122</v>
      </c>
      <c r="B58" s="21" t="s">
        <v>52</v>
      </c>
      <c r="C58" s="21" t="s">
        <v>116</v>
      </c>
      <c r="D58" s="21" t="s">
        <v>208</v>
      </c>
      <c r="E58" s="21" t="s">
        <v>60</v>
      </c>
      <c r="F58" s="37" t="n">
        <v>596</v>
      </c>
      <c r="G58" s="38" t="n">
        <v>6.68</v>
      </c>
      <c r="H58" s="21" t="s">
        <v>279</v>
      </c>
      <c r="I58" s="21" t="str">
        <f aca="false">IF(AND(H58="Yes",F58&gt;0),"Yes","No")</f>
        <v>Yes</v>
      </c>
      <c r="J58" s="21" t="s">
        <v>62</v>
      </c>
      <c r="K58" s="21" t="s">
        <v>280</v>
      </c>
      <c r="L58" s="21"/>
    </row>
    <row r="59" customFormat="false" ht="15" hidden="false" customHeight="true" outlineLevel="0" collapsed="false">
      <c r="A59" s="21" t="s">
        <v>126</v>
      </c>
      <c r="B59" s="21" t="s">
        <v>52</v>
      </c>
      <c r="C59" s="21" t="s">
        <v>116</v>
      </c>
      <c r="D59" s="21" t="s">
        <v>116</v>
      </c>
      <c r="E59" s="21" t="s">
        <v>60</v>
      </c>
      <c r="F59" s="37" t="n">
        <v>0</v>
      </c>
      <c r="G59" s="38"/>
      <c r="H59" s="21" t="s">
        <v>279</v>
      </c>
      <c r="I59" s="21" t="str">
        <f aca="false">IF(AND(H59="Yes",F59&gt;0),"Yes","No")</f>
        <v>No</v>
      </c>
      <c r="J59" s="21" t="s">
        <v>62</v>
      </c>
      <c r="K59" s="21" t="s">
        <v>280</v>
      </c>
      <c r="L59" s="21"/>
    </row>
    <row r="60" customFormat="false" ht="21.75" hidden="false" customHeight="true" outlineLevel="0" collapsed="false">
      <c r="A60" s="21" t="s">
        <v>126</v>
      </c>
      <c r="B60" s="21" t="s">
        <v>52</v>
      </c>
      <c r="C60" s="21" t="s">
        <v>116</v>
      </c>
      <c r="D60" s="21" t="s">
        <v>130</v>
      </c>
      <c r="E60" s="21" t="s">
        <v>60</v>
      </c>
      <c r="F60" s="37" t="n">
        <v>8</v>
      </c>
      <c r="G60" s="38"/>
      <c r="H60" s="21" t="s">
        <v>279</v>
      </c>
      <c r="I60" s="21" t="str">
        <f aca="false">IF(AND(H60="Yes",F60&gt;0),"Yes","No")</f>
        <v>Yes</v>
      </c>
      <c r="J60" s="21" t="s">
        <v>62</v>
      </c>
      <c r="K60" s="21" t="s">
        <v>280</v>
      </c>
      <c r="L60" s="21" t="s">
        <v>286</v>
      </c>
    </row>
    <row r="61" customFormat="false" ht="15" hidden="false" customHeight="true" outlineLevel="0" collapsed="false">
      <c r="A61" s="21" t="s">
        <v>126</v>
      </c>
      <c r="B61" s="21" t="s">
        <v>52</v>
      </c>
      <c r="C61" s="21" t="s">
        <v>116</v>
      </c>
      <c r="D61" s="21" t="s">
        <v>155</v>
      </c>
      <c r="E61" s="21" t="s">
        <v>60</v>
      </c>
      <c r="F61" s="37" t="n">
        <v>0</v>
      </c>
      <c r="G61" s="38"/>
      <c r="H61" s="21" t="s">
        <v>279</v>
      </c>
      <c r="I61" s="21" t="str">
        <f aca="false">IF(AND(H61="Yes",F61&gt;0),"Yes","No")</f>
        <v>No</v>
      </c>
      <c r="J61" s="21" t="s">
        <v>62</v>
      </c>
      <c r="K61" s="21" t="s">
        <v>280</v>
      </c>
      <c r="L61" s="21"/>
    </row>
    <row r="62" customFormat="false" ht="15" hidden="false" customHeight="true" outlineLevel="0" collapsed="false">
      <c r="A62" s="21" t="s">
        <v>126</v>
      </c>
      <c r="B62" s="21" t="s">
        <v>52</v>
      </c>
      <c r="C62" s="21" t="s">
        <v>116</v>
      </c>
      <c r="D62" s="21" t="s">
        <v>170</v>
      </c>
      <c r="E62" s="21" t="s">
        <v>60</v>
      </c>
      <c r="F62" s="37" t="n">
        <v>0</v>
      </c>
      <c r="G62" s="38"/>
      <c r="H62" s="21" t="s">
        <v>279</v>
      </c>
      <c r="I62" s="21" t="str">
        <f aca="false">IF(AND(H62="Yes",F62&gt;0),"Yes","No")</f>
        <v>No</v>
      </c>
      <c r="J62" s="21" t="s">
        <v>62</v>
      </c>
      <c r="K62" s="21" t="s">
        <v>280</v>
      </c>
      <c r="L62" s="21"/>
    </row>
    <row r="63" customFormat="false" ht="15" hidden="false" customHeight="true" outlineLevel="0" collapsed="false">
      <c r="A63" s="21" t="s">
        <v>129</v>
      </c>
      <c r="B63" s="21" t="s">
        <v>52</v>
      </c>
      <c r="C63" s="21" t="s">
        <v>130</v>
      </c>
      <c r="D63" s="21" t="s">
        <v>130</v>
      </c>
      <c r="E63" s="21" t="s">
        <v>60</v>
      </c>
      <c r="F63" s="37" t="n">
        <v>3222</v>
      </c>
      <c r="G63" s="38" t="n">
        <v>7.04</v>
      </c>
      <c r="H63" s="21" t="s">
        <v>279</v>
      </c>
      <c r="I63" s="21" t="str">
        <f aca="false">IF(AND(H63="Yes",F63&gt;0),"Yes","No")</f>
        <v>Yes</v>
      </c>
      <c r="J63" s="21" t="s">
        <v>62</v>
      </c>
      <c r="K63" s="21" t="s">
        <v>280</v>
      </c>
      <c r="L63" s="21" t="s">
        <v>287</v>
      </c>
    </row>
    <row r="64" customFormat="false" ht="15" hidden="false" customHeight="true" outlineLevel="0" collapsed="false">
      <c r="A64" s="21" t="s">
        <v>129</v>
      </c>
      <c r="B64" s="21" t="s">
        <v>52</v>
      </c>
      <c r="C64" s="21" t="s">
        <v>130</v>
      </c>
      <c r="D64" s="21" t="s">
        <v>155</v>
      </c>
      <c r="E64" s="21" t="s">
        <v>60</v>
      </c>
      <c r="F64" s="37" t="n">
        <v>3329</v>
      </c>
      <c r="G64" s="38" t="n">
        <v>7.02</v>
      </c>
      <c r="H64" s="21" t="s">
        <v>279</v>
      </c>
      <c r="I64" s="21" t="str">
        <f aca="false">IF(AND(H64="Yes",F64&gt;0),"Yes","No")</f>
        <v>Yes</v>
      </c>
      <c r="J64" s="21" t="s">
        <v>62</v>
      </c>
      <c r="K64" s="21" t="s">
        <v>280</v>
      </c>
      <c r="L64" s="21" t="s">
        <v>287</v>
      </c>
    </row>
    <row r="65" customFormat="false" ht="15" hidden="false" customHeight="true" outlineLevel="0" collapsed="false">
      <c r="A65" s="21" t="s">
        <v>129</v>
      </c>
      <c r="B65" s="21" t="s">
        <v>52</v>
      </c>
      <c r="C65" s="21" t="s">
        <v>130</v>
      </c>
      <c r="D65" s="21" t="s">
        <v>170</v>
      </c>
      <c r="E65" s="21" t="s">
        <v>60</v>
      </c>
      <c r="F65" s="37" t="n">
        <v>2022</v>
      </c>
      <c r="G65" s="38" t="n">
        <v>6.79</v>
      </c>
      <c r="H65" s="21" t="s">
        <v>279</v>
      </c>
      <c r="I65" s="21" t="str">
        <f aca="false">IF(AND(H65="Yes",F65&gt;0),"Yes","No")</f>
        <v>Yes</v>
      </c>
      <c r="J65" s="21" t="s">
        <v>62</v>
      </c>
      <c r="K65" s="21" t="s">
        <v>280</v>
      </c>
      <c r="L65" s="21" t="s">
        <v>287</v>
      </c>
    </row>
    <row r="66" customFormat="false" ht="15" hidden="false" customHeight="true" outlineLevel="0" collapsed="false">
      <c r="A66" s="21" t="s">
        <v>129</v>
      </c>
      <c r="B66" s="21" t="s">
        <v>52</v>
      </c>
      <c r="C66" s="21" t="s">
        <v>130</v>
      </c>
      <c r="D66" s="21" t="s">
        <v>189</v>
      </c>
      <c r="E66" s="21" t="s">
        <v>60</v>
      </c>
      <c r="F66" s="37" t="n">
        <v>3059</v>
      </c>
      <c r="G66" s="38" t="n">
        <v>6.92</v>
      </c>
      <c r="H66" s="21" t="s">
        <v>279</v>
      </c>
      <c r="I66" s="21" t="str">
        <f aca="false">IF(AND(H66="Yes",F66&gt;0),"Yes","No")</f>
        <v>Yes</v>
      </c>
      <c r="J66" s="21" t="s">
        <v>62</v>
      </c>
      <c r="K66" s="21" t="s">
        <v>280</v>
      </c>
      <c r="L66" s="21" t="s">
        <v>287</v>
      </c>
    </row>
    <row r="67" customFormat="false" ht="15" hidden="false" customHeight="true" outlineLevel="0" collapsed="false">
      <c r="A67" s="21" t="s">
        <v>132</v>
      </c>
      <c r="B67" s="21" t="s">
        <v>52</v>
      </c>
      <c r="C67" s="21" t="s">
        <v>130</v>
      </c>
      <c r="D67" s="21" t="s">
        <v>130</v>
      </c>
      <c r="E67" s="21" t="s">
        <v>60</v>
      </c>
      <c r="F67" s="37" t="n">
        <v>2915</v>
      </c>
      <c r="G67" s="38" t="n">
        <v>6.91</v>
      </c>
      <c r="H67" s="21" t="s">
        <v>279</v>
      </c>
      <c r="I67" s="21" t="str">
        <f aca="false">IF(AND(H67="Yes",F67&gt;0),"Yes","No")</f>
        <v>Yes</v>
      </c>
      <c r="J67" s="21" t="s">
        <v>136</v>
      </c>
      <c r="K67" s="21" t="s">
        <v>288</v>
      </c>
      <c r="L67" s="21"/>
    </row>
    <row r="68" customFormat="false" ht="15" hidden="false" customHeight="true" outlineLevel="0" collapsed="false">
      <c r="A68" s="21" t="s">
        <v>132</v>
      </c>
      <c r="B68" s="21" t="s">
        <v>52</v>
      </c>
      <c r="C68" s="21" t="s">
        <v>130</v>
      </c>
      <c r="D68" s="21" t="s">
        <v>155</v>
      </c>
      <c r="E68" s="21" t="s">
        <v>60</v>
      </c>
      <c r="F68" s="37" t="n">
        <v>2783</v>
      </c>
      <c r="G68" s="38" t="n">
        <v>7.06</v>
      </c>
      <c r="H68" s="21" t="s">
        <v>279</v>
      </c>
      <c r="I68" s="21" t="str">
        <f aca="false">IF(AND(H68="Yes",F68&gt;0),"Yes","No")</f>
        <v>Yes</v>
      </c>
      <c r="J68" s="21" t="s">
        <v>136</v>
      </c>
      <c r="K68" s="21" t="s">
        <v>288</v>
      </c>
      <c r="L68" s="21"/>
    </row>
    <row r="69" customFormat="false" ht="15" hidden="false" customHeight="true" outlineLevel="0" collapsed="false">
      <c r="A69" s="21" t="s">
        <v>132</v>
      </c>
      <c r="B69" s="21" t="s">
        <v>52</v>
      </c>
      <c r="C69" s="21" t="s">
        <v>130</v>
      </c>
      <c r="D69" s="21" t="s">
        <v>170</v>
      </c>
      <c r="E69" s="21" t="s">
        <v>60</v>
      </c>
      <c r="F69" s="37" t="n">
        <v>3416</v>
      </c>
      <c r="G69" s="38" t="n">
        <v>7.03</v>
      </c>
      <c r="H69" s="21" t="s">
        <v>279</v>
      </c>
      <c r="I69" s="21" t="str">
        <f aca="false">IF(AND(H69="Yes",F69&gt;0),"Yes","No")</f>
        <v>Yes</v>
      </c>
      <c r="J69" s="21" t="s">
        <v>136</v>
      </c>
      <c r="K69" s="21" t="s">
        <v>288</v>
      </c>
      <c r="L69" s="21"/>
    </row>
    <row r="70" customFormat="false" ht="21.75" hidden="false" customHeight="true" outlineLevel="0" collapsed="false">
      <c r="A70" s="21" t="s">
        <v>137</v>
      </c>
      <c r="B70" s="21" t="s">
        <v>64</v>
      </c>
      <c r="C70" s="21" t="s">
        <v>130</v>
      </c>
      <c r="D70" s="21" t="s">
        <v>130</v>
      </c>
      <c r="E70" s="21" t="s">
        <v>60</v>
      </c>
      <c r="F70" s="37" t="n">
        <v>1567</v>
      </c>
      <c r="G70" s="38" t="n">
        <v>6.78</v>
      </c>
      <c r="H70" s="21" t="s">
        <v>279</v>
      </c>
      <c r="I70" s="21" t="str">
        <f aca="false">IF(AND(H70="Yes",F70&gt;0),"Yes","No")</f>
        <v>Yes</v>
      </c>
      <c r="J70" s="21" t="s">
        <v>136</v>
      </c>
      <c r="K70" s="21" t="s">
        <v>289</v>
      </c>
      <c r="L70" s="21" t="s">
        <v>290</v>
      </c>
    </row>
    <row r="71" customFormat="false" ht="21.75" hidden="false" customHeight="true" outlineLevel="0" collapsed="false">
      <c r="A71" s="21" t="s">
        <v>137</v>
      </c>
      <c r="B71" s="21" t="s">
        <v>64</v>
      </c>
      <c r="C71" s="21" t="s">
        <v>130</v>
      </c>
      <c r="D71" s="21" t="s">
        <v>155</v>
      </c>
      <c r="E71" s="21" t="s">
        <v>60</v>
      </c>
      <c r="F71" s="37" t="n">
        <v>1805</v>
      </c>
      <c r="G71" s="38" t="n">
        <v>6.43</v>
      </c>
      <c r="H71" s="21" t="s">
        <v>279</v>
      </c>
      <c r="I71" s="21" t="str">
        <f aca="false">IF(AND(H71="Yes",F71&gt;0),"Yes","No")</f>
        <v>Yes</v>
      </c>
      <c r="J71" s="21" t="s">
        <v>136</v>
      </c>
      <c r="K71" s="21" t="s">
        <v>289</v>
      </c>
      <c r="L71" s="21" t="s">
        <v>290</v>
      </c>
    </row>
    <row r="72" customFormat="false" ht="21.75" hidden="false" customHeight="true" outlineLevel="0" collapsed="false">
      <c r="A72" s="21" t="s">
        <v>137</v>
      </c>
      <c r="B72" s="21" t="s">
        <v>64</v>
      </c>
      <c r="C72" s="21" t="s">
        <v>130</v>
      </c>
      <c r="D72" s="21" t="s">
        <v>170</v>
      </c>
      <c r="E72" s="21" t="s">
        <v>60</v>
      </c>
      <c r="F72" s="37" t="n">
        <v>1552</v>
      </c>
      <c r="G72" s="38" t="n">
        <v>6.75</v>
      </c>
      <c r="H72" s="21" t="s">
        <v>279</v>
      </c>
      <c r="I72" s="21" t="str">
        <f aca="false">IF(AND(H72="Yes",F72&gt;0),"Yes","No")</f>
        <v>Yes</v>
      </c>
      <c r="J72" s="21" t="s">
        <v>136</v>
      </c>
      <c r="K72" s="21" t="s">
        <v>289</v>
      </c>
      <c r="L72" s="21" t="s">
        <v>290</v>
      </c>
    </row>
    <row r="73" customFormat="false" ht="15" hidden="false" customHeight="true" outlineLevel="0" collapsed="false">
      <c r="A73" s="21" t="s">
        <v>137</v>
      </c>
      <c r="B73" s="21" t="s">
        <v>64</v>
      </c>
      <c r="C73" s="21" t="s">
        <v>130</v>
      </c>
      <c r="D73" s="21" t="s">
        <v>208</v>
      </c>
      <c r="E73" s="21" t="s">
        <v>60</v>
      </c>
      <c r="F73" s="37" t="n">
        <v>2</v>
      </c>
      <c r="G73" s="38"/>
      <c r="H73" s="21" t="s">
        <v>291</v>
      </c>
      <c r="I73" s="21" t="str">
        <f aca="false">IF(AND(H73="Yes",F73&gt;0),"Yes","No")</f>
        <v>No</v>
      </c>
      <c r="J73" s="21" t="s">
        <v>136</v>
      </c>
      <c r="K73" s="21" t="s">
        <v>289</v>
      </c>
      <c r="L73" s="21" t="s">
        <v>292</v>
      </c>
    </row>
    <row r="74" customFormat="false" ht="15" hidden="false" customHeight="true" outlineLevel="0" collapsed="false">
      <c r="A74" s="21" t="s">
        <v>142</v>
      </c>
      <c r="B74" s="21" t="s">
        <v>64</v>
      </c>
      <c r="C74" s="21" t="s">
        <v>130</v>
      </c>
      <c r="D74" s="21" t="s">
        <v>130</v>
      </c>
      <c r="E74" s="21" t="s">
        <v>60</v>
      </c>
      <c r="F74" s="37" t="n">
        <v>1148</v>
      </c>
      <c r="G74" s="38" t="n">
        <v>6.6</v>
      </c>
      <c r="H74" s="21" t="s">
        <v>279</v>
      </c>
      <c r="I74" s="21" t="str">
        <f aca="false">IF(AND(H74="Yes",F74&gt;0),"Yes","No")</f>
        <v>Yes</v>
      </c>
      <c r="J74" s="21" t="s">
        <v>136</v>
      </c>
      <c r="K74" s="21" t="s">
        <v>293</v>
      </c>
      <c r="L74" s="21" t="s">
        <v>294</v>
      </c>
    </row>
    <row r="75" customFormat="false" ht="15" hidden="false" customHeight="true" outlineLevel="0" collapsed="false">
      <c r="A75" s="21" t="s">
        <v>142</v>
      </c>
      <c r="B75" s="21" t="s">
        <v>64</v>
      </c>
      <c r="C75" s="21" t="s">
        <v>130</v>
      </c>
      <c r="D75" s="21" t="s">
        <v>155</v>
      </c>
      <c r="E75" s="21" t="s">
        <v>60</v>
      </c>
      <c r="F75" s="37" t="n">
        <v>754</v>
      </c>
      <c r="G75" s="38" t="n">
        <v>6.15</v>
      </c>
      <c r="H75" s="21" t="s">
        <v>279</v>
      </c>
      <c r="I75" s="21" t="str">
        <f aca="false">IF(AND(H75="Yes",F75&gt;0),"Yes","No")</f>
        <v>Yes</v>
      </c>
      <c r="J75" s="21" t="s">
        <v>136</v>
      </c>
      <c r="K75" s="21" t="s">
        <v>293</v>
      </c>
      <c r="L75" s="21" t="s">
        <v>294</v>
      </c>
    </row>
    <row r="76" customFormat="false" ht="15" hidden="false" customHeight="true" outlineLevel="0" collapsed="false">
      <c r="A76" s="21" t="s">
        <v>142</v>
      </c>
      <c r="B76" s="21" t="s">
        <v>64</v>
      </c>
      <c r="C76" s="21" t="s">
        <v>130</v>
      </c>
      <c r="D76" s="21" t="s">
        <v>170</v>
      </c>
      <c r="E76" s="21" t="s">
        <v>60</v>
      </c>
      <c r="F76" s="37" t="n">
        <v>2283</v>
      </c>
      <c r="G76" s="38" t="n">
        <v>6.95</v>
      </c>
      <c r="H76" s="21" t="s">
        <v>279</v>
      </c>
      <c r="I76" s="21" t="str">
        <f aca="false">IF(AND(H76="Yes",F76&gt;0),"Yes","No")</f>
        <v>Yes</v>
      </c>
      <c r="J76" s="21" t="s">
        <v>136</v>
      </c>
      <c r="K76" s="21" t="s">
        <v>293</v>
      </c>
      <c r="L76" s="21" t="s">
        <v>294</v>
      </c>
    </row>
    <row r="77" customFormat="false" ht="15" hidden="false" customHeight="true" outlineLevel="0" collapsed="false">
      <c r="A77" s="21" t="s">
        <v>142</v>
      </c>
      <c r="B77" s="21" t="s">
        <v>64</v>
      </c>
      <c r="C77" s="21" t="s">
        <v>130</v>
      </c>
      <c r="D77" s="21" t="s">
        <v>189</v>
      </c>
      <c r="E77" s="21" t="s">
        <v>60</v>
      </c>
      <c r="F77" s="37" t="n">
        <v>2654</v>
      </c>
      <c r="G77" s="38" t="n">
        <v>6.86</v>
      </c>
      <c r="H77" s="21" t="s">
        <v>279</v>
      </c>
      <c r="I77" s="21" t="str">
        <f aca="false">IF(AND(H77="Yes",F77&gt;0),"Yes","No")</f>
        <v>Yes</v>
      </c>
      <c r="J77" s="21" t="s">
        <v>136</v>
      </c>
      <c r="K77" s="21" t="s">
        <v>293</v>
      </c>
      <c r="L77" s="21" t="s">
        <v>294</v>
      </c>
    </row>
    <row r="78" customFormat="false" ht="15" hidden="false" customHeight="true" outlineLevel="0" collapsed="false">
      <c r="A78" s="21" t="s">
        <v>142</v>
      </c>
      <c r="B78" s="21" t="s">
        <v>64</v>
      </c>
      <c r="C78" s="21" t="s">
        <v>130</v>
      </c>
      <c r="D78" s="21" t="s">
        <v>208</v>
      </c>
      <c r="E78" s="21" t="s">
        <v>60</v>
      </c>
      <c r="F78" s="37" t="n">
        <v>2222</v>
      </c>
      <c r="G78" s="38" t="n">
        <v>6.68</v>
      </c>
      <c r="H78" s="21" t="s">
        <v>279</v>
      </c>
      <c r="I78" s="21" t="str">
        <f aca="false">IF(AND(H78="Yes",F78&gt;0),"Yes","No")</f>
        <v>Yes</v>
      </c>
      <c r="J78" s="21" t="s">
        <v>136</v>
      </c>
      <c r="K78" s="21" t="s">
        <v>293</v>
      </c>
      <c r="L78" s="21" t="s">
        <v>294</v>
      </c>
    </row>
    <row r="79" customFormat="false" ht="15" hidden="false" customHeight="true" outlineLevel="0" collapsed="false">
      <c r="A79" s="21" t="s">
        <v>145</v>
      </c>
      <c r="B79" s="21" t="s">
        <v>64</v>
      </c>
      <c r="C79" s="21" t="s">
        <v>130</v>
      </c>
      <c r="D79" s="21" t="s">
        <v>130</v>
      </c>
      <c r="E79" s="21" t="s">
        <v>60</v>
      </c>
      <c r="F79" s="37" t="n">
        <v>1137</v>
      </c>
      <c r="G79" s="38" t="n">
        <v>6.95</v>
      </c>
      <c r="H79" s="21" t="s">
        <v>279</v>
      </c>
      <c r="I79" s="21" t="str">
        <f aca="false">IF(AND(H79="Yes",F79&gt;0),"Yes","No")</f>
        <v>Yes</v>
      </c>
      <c r="J79" s="21" t="s">
        <v>136</v>
      </c>
      <c r="K79" s="21" t="s">
        <v>295</v>
      </c>
      <c r="L79" s="21"/>
    </row>
    <row r="80" customFormat="false" ht="15" hidden="false" customHeight="true" outlineLevel="0" collapsed="false">
      <c r="A80" s="21" t="s">
        <v>145</v>
      </c>
      <c r="B80" s="21" t="s">
        <v>64</v>
      </c>
      <c r="C80" s="21" t="s">
        <v>130</v>
      </c>
      <c r="D80" s="21" t="s">
        <v>155</v>
      </c>
      <c r="E80" s="21" t="s">
        <v>60</v>
      </c>
      <c r="F80" s="37" t="n">
        <v>2756</v>
      </c>
      <c r="G80" s="38" t="n">
        <v>7.25</v>
      </c>
      <c r="H80" s="21" t="s">
        <v>279</v>
      </c>
      <c r="I80" s="21" t="str">
        <f aca="false">IF(AND(H80="Yes",F80&gt;0),"Yes","No")</f>
        <v>Yes</v>
      </c>
      <c r="J80" s="21" t="s">
        <v>136</v>
      </c>
      <c r="K80" s="21" t="s">
        <v>295</v>
      </c>
      <c r="L80" s="21"/>
    </row>
    <row r="81" customFormat="false" ht="15" hidden="false" customHeight="true" outlineLevel="0" collapsed="false">
      <c r="A81" s="21" t="s">
        <v>145</v>
      </c>
      <c r="B81" s="21" t="s">
        <v>64</v>
      </c>
      <c r="C81" s="21" t="s">
        <v>130</v>
      </c>
      <c r="D81" s="21" t="s">
        <v>170</v>
      </c>
      <c r="E81" s="21" t="s">
        <v>60</v>
      </c>
      <c r="F81" s="37" t="n">
        <v>1277</v>
      </c>
      <c r="G81" s="38" t="n">
        <v>7.71</v>
      </c>
      <c r="H81" s="21" t="s">
        <v>279</v>
      </c>
      <c r="I81" s="21" t="str">
        <f aca="false">IF(AND(H81="Yes",F81&gt;0),"Yes","No")</f>
        <v>Yes</v>
      </c>
      <c r="J81" s="21" t="s">
        <v>136</v>
      </c>
      <c r="K81" s="21" t="s">
        <v>295</v>
      </c>
      <c r="L81" s="21"/>
    </row>
    <row r="82" customFormat="false" ht="15" hidden="false" customHeight="true" outlineLevel="0" collapsed="false">
      <c r="A82" s="21" t="s">
        <v>148</v>
      </c>
      <c r="B82" s="21" t="s">
        <v>70</v>
      </c>
      <c r="C82" s="21" t="s">
        <v>130</v>
      </c>
      <c r="D82" s="21" t="s">
        <v>130</v>
      </c>
      <c r="E82" s="21" t="s">
        <v>60</v>
      </c>
      <c r="F82" s="37" t="n">
        <v>1058</v>
      </c>
      <c r="G82" s="38" t="n">
        <v>6.96</v>
      </c>
      <c r="H82" s="21" t="s">
        <v>279</v>
      </c>
      <c r="I82" s="21" t="str">
        <f aca="false">IF(AND(H82="Yes",F82&gt;0),"Yes","No")</f>
        <v>Yes</v>
      </c>
      <c r="J82" s="21" t="s">
        <v>136</v>
      </c>
      <c r="K82" s="21" t="s">
        <v>296</v>
      </c>
      <c r="L82" s="21" t="s">
        <v>297</v>
      </c>
    </row>
    <row r="83" customFormat="false" ht="15" hidden="false" customHeight="true" outlineLevel="0" collapsed="false">
      <c r="A83" s="21" t="s">
        <v>148</v>
      </c>
      <c r="B83" s="21" t="s">
        <v>70</v>
      </c>
      <c r="C83" s="21" t="s">
        <v>130</v>
      </c>
      <c r="D83" s="21" t="s">
        <v>155</v>
      </c>
      <c r="E83" s="21" t="s">
        <v>60</v>
      </c>
      <c r="F83" s="37" t="n">
        <v>827</v>
      </c>
      <c r="G83" s="38" t="n">
        <v>6.53</v>
      </c>
      <c r="H83" s="21" t="s">
        <v>279</v>
      </c>
      <c r="I83" s="21" t="str">
        <f aca="false">IF(AND(H83="Yes",F83&gt;0),"Yes","No")</f>
        <v>Yes</v>
      </c>
      <c r="J83" s="21" t="s">
        <v>136</v>
      </c>
      <c r="K83" s="21" t="s">
        <v>296</v>
      </c>
      <c r="L83" s="21" t="s">
        <v>297</v>
      </c>
    </row>
    <row r="84" customFormat="false" ht="15" hidden="false" customHeight="true" outlineLevel="0" collapsed="false">
      <c r="A84" s="21" t="s">
        <v>148</v>
      </c>
      <c r="B84" s="21" t="s">
        <v>70</v>
      </c>
      <c r="C84" s="21" t="s">
        <v>130</v>
      </c>
      <c r="D84" s="21" t="s">
        <v>170</v>
      </c>
      <c r="E84" s="21" t="s">
        <v>60</v>
      </c>
      <c r="F84" s="37" t="n">
        <v>1899</v>
      </c>
      <c r="G84" s="38" t="n">
        <v>6.78</v>
      </c>
      <c r="H84" s="21" t="s">
        <v>279</v>
      </c>
      <c r="I84" s="21" t="str">
        <f aca="false">IF(AND(H84="Yes",F84&gt;0),"Yes","No")</f>
        <v>Yes</v>
      </c>
      <c r="J84" s="21" t="s">
        <v>136</v>
      </c>
      <c r="K84" s="21" t="s">
        <v>296</v>
      </c>
      <c r="L84" s="21" t="s">
        <v>297</v>
      </c>
    </row>
    <row r="85" customFormat="false" ht="15" hidden="false" customHeight="true" outlineLevel="0" collapsed="false">
      <c r="A85" s="21" t="s">
        <v>148</v>
      </c>
      <c r="B85" s="21" t="s">
        <v>70</v>
      </c>
      <c r="C85" s="21" t="s">
        <v>130</v>
      </c>
      <c r="D85" s="21" t="s">
        <v>189</v>
      </c>
      <c r="E85" s="21" t="s">
        <v>60</v>
      </c>
      <c r="F85" s="37" t="n">
        <v>2118</v>
      </c>
      <c r="G85" s="38" t="n">
        <v>6.72</v>
      </c>
      <c r="H85" s="21" t="s">
        <v>279</v>
      </c>
      <c r="I85" s="21" t="str">
        <f aca="false">IF(AND(H85="Yes",F85&gt;0),"Yes","No")</f>
        <v>Yes</v>
      </c>
      <c r="J85" s="21" t="s">
        <v>136</v>
      </c>
      <c r="K85" s="21" t="s">
        <v>296</v>
      </c>
      <c r="L85" s="21" t="s">
        <v>297</v>
      </c>
    </row>
    <row r="86" customFormat="false" ht="15" hidden="false" customHeight="true" outlineLevel="0" collapsed="false">
      <c r="A86" s="21" t="s">
        <v>148</v>
      </c>
      <c r="B86" s="21" t="s">
        <v>70</v>
      </c>
      <c r="C86" s="21" t="s">
        <v>130</v>
      </c>
      <c r="D86" s="21" t="s">
        <v>208</v>
      </c>
      <c r="E86" s="21" t="s">
        <v>60</v>
      </c>
      <c r="F86" s="37" t="n">
        <v>1568</v>
      </c>
      <c r="G86" s="38" t="n">
        <v>6.56</v>
      </c>
      <c r="H86" s="21" t="s">
        <v>279</v>
      </c>
      <c r="I86" s="21" t="str">
        <f aca="false">IF(AND(H86="Yes",F86&gt;0),"Yes","No")</f>
        <v>Yes</v>
      </c>
      <c r="J86" s="21" t="s">
        <v>136</v>
      </c>
      <c r="K86" s="21" t="s">
        <v>296</v>
      </c>
      <c r="L86" s="21" t="s">
        <v>297</v>
      </c>
    </row>
    <row r="87" customFormat="false" ht="21.75" hidden="false" customHeight="true" outlineLevel="0" collapsed="false">
      <c r="A87" s="21" t="s">
        <v>150</v>
      </c>
      <c r="B87" s="21" t="s">
        <v>81</v>
      </c>
      <c r="C87" s="21" t="s">
        <v>130</v>
      </c>
      <c r="D87" s="21" t="s">
        <v>130</v>
      </c>
      <c r="E87" s="21" t="s">
        <v>85</v>
      </c>
      <c r="F87" s="37" t="n">
        <v>0</v>
      </c>
      <c r="G87" s="38"/>
      <c r="H87" s="21" t="s">
        <v>279</v>
      </c>
      <c r="I87" s="21" t="str">
        <f aca="false">IF(AND(H87="Yes",F87&gt;0),"Yes","No")</f>
        <v>No</v>
      </c>
      <c r="J87" s="21" t="s">
        <v>153</v>
      </c>
      <c r="K87" s="21" t="s">
        <v>298</v>
      </c>
      <c r="L87" s="21"/>
    </row>
    <row r="88" customFormat="false" ht="21.75" hidden="false" customHeight="true" outlineLevel="0" collapsed="false">
      <c r="A88" s="21" t="s">
        <v>150</v>
      </c>
      <c r="B88" s="21" t="s">
        <v>81</v>
      </c>
      <c r="C88" s="21" t="s">
        <v>130</v>
      </c>
      <c r="D88" s="21" t="s">
        <v>170</v>
      </c>
      <c r="E88" s="21" t="s">
        <v>85</v>
      </c>
      <c r="F88" s="37" t="n">
        <v>1</v>
      </c>
      <c r="G88" s="38"/>
      <c r="H88" s="21" t="s">
        <v>279</v>
      </c>
      <c r="I88" s="21" t="str">
        <f aca="false">IF(AND(H88="Yes",F88&gt;0),"Yes","No")</f>
        <v>Yes</v>
      </c>
      <c r="J88" s="21" t="s">
        <v>153</v>
      </c>
      <c r="K88" s="21" t="s">
        <v>298</v>
      </c>
      <c r="L88" s="21" t="s">
        <v>299</v>
      </c>
    </row>
    <row r="89" customFormat="false" ht="21.75" hidden="false" customHeight="true" outlineLevel="0" collapsed="false">
      <c r="A89" s="21" t="s">
        <v>150</v>
      </c>
      <c r="B89" s="21" t="s">
        <v>81</v>
      </c>
      <c r="C89" s="21" t="s">
        <v>130</v>
      </c>
      <c r="D89" s="21" t="s">
        <v>189</v>
      </c>
      <c r="E89" s="21" t="s">
        <v>85</v>
      </c>
      <c r="F89" s="37" t="n">
        <v>0</v>
      </c>
      <c r="G89" s="38"/>
      <c r="H89" s="21" t="s">
        <v>279</v>
      </c>
      <c r="I89" s="21" t="str">
        <f aca="false">IF(AND(H89="Yes",F89&gt;0),"Yes","No")</f>
        <v>No</v>
      </c>
      <c r="J89" s="21" t="s">
        <v>153</v>
      </c>
      <c r="K89" s="21" t="s">
        <v>298</v>
      </c>
      <c r="L89" s="21"/>
    </row>
    <row r="90" customFormat="false" ht="21.75" hidden="false" customHeight="true" outlineLevel="0" collapsed="false">
      <c r="A90" s="21" t="s">
        <v>150</v>
      </c>
      <c r="B90" s="21" t="s">
        <v>81</v>
      </c>
      <c r="C90" s="21" t="s">
        <v>130</v>
      </c>
      <c r="D90" s="21" t="s">
        <v>208</v>
      </c>
      <c r="E90" s="21" t="s">
        <v>85</v>
      </c>
      <c r="F90" s="37" t="n">
        <v>0</v>
      </c>
      <c r="G90" s="38"/>
      <c r="H90" s="21" t="s">
        <v>279</v>
      </c>
      <c r="I90" s="21" t="str">
        <f aca="false">IF(AND(H90="Yes",F90&gt;0),"Yes","No")</f>
        <v>No</v>
      </c>
      <c r="J90" s="21" t="s">
        <v>153</v>
      </c>
      <c r="K90" s="21" t="s">
        <v>298</v>
      </c>
      <c r="L90" s="21"/>
    </row>
    <row r="91" customFormat="false" ht="21.75" hidden="false" customHeight="true" outlineLevel="0" collapsed="false">
      <c r="A91" s="21" t="s">
        <v>154</v>
      </c>
      <c r="B91" s="21" t="s">
        <v>70</v>
      </c>
      <c r="C91" s="21" t="s">
        <v>155</v>
      </c>
      <c r="D91" s="21" t="s">
        <v>155</v>
      </c>
      <c r="E91" s="21" t="s">
        <v>60</v>
      </c>
      <c r="F91" s="37" t="n">
        <v>2848</v>
      </c>
      <c r="G91" s="38" t="n">
        <v>7.12</v>
      </c>
      <c r="H91" s="21" t="s">
        <v>279</v>
      </c>
      <c r="I91" s="21" t="str">
        <f aca="false">IF(AND(H91="Yes",F91&gt;0),"Yes","No")</f>
        <v>Yes</v>
      </c>
      <c r="J91" s="21" t="s">
        <v>158</v>
      </c>
      <c r="K91" s="21" t="s">
        <v>300</v>
      </c>
      <c r="L91" s="21"/>
    </row>
    <row r="92" customFormat="false" ht="21.75" hidden="false" customHeight="true" outlineLevel="0" collapsed="false">
      <c r="A92" s="21" t="s">
        <v>154</v>
      </c>
      <c r="B92" s="21" t="s">
        <v>70</v>
      </c>
      <c r="C92" s="21" t="s">
        <v>155</v>
      </c>
      <c r="D92" s="21" t="s">
        <v>170</v>
      </c>
      <c r="E92" s="21" t="s">
        <v>60</v>
      </c>
      <c r="F92" s="37" t="n">
        <v>920</v>
      </c>
      <c r="G92" s="38" t="n">
        <v>7.28</v>
      </c>
      <c r="H92" s="21" t="s">
        <v>279</v>
      </c>
      <c r="I92" s="21" t="str">
        <f aca="false">IF(AND(H92="Yes",F92&gt;0),"Yes","No")</f>
        <v>Yes</v>
      </c>
      <c r="J92" s="21" t="s">
        <v>158</v>
      </c>
      <c r="K92" s="21" t="s">
        <v>300</v>
      </c>
      <c r="L92" s="21" t="s">
        <v>301</v>
      </c>
    </row>
    <row r="93" customFormat="false" ht="21.75" hidden="false" customHeight="true" outlineLevel="0" collapsed="false">
      <c r="A93" s="21" t="s">
        <v>154</v>
      </c>
      <c r="B93" s="21" t="s">
        <v>70</v>
      </c>
      <c r="C93" s="21" t="s">
        <v>155</v>
      </c>
      <c r="D93" s="21" t="s">
        <v>189</v>
      </c>
      <c r="E93" s="21" t="s">
        <v>60</v>
      </c>
      <c r="F93" s="37" t="n">
        <v>443</v>
      </c>
      <c r="G93" s="38" t="n">
        <v>6.53</v>
      </c>
      <c r="H93" s="21" t="s">
        <v>279</v>
      </c>
      <c r="I93" s="21" t="str">
        <f aca="false">IF(AND(H93="Yes",F93&gt;0),"Yes","No")</f>
        <v>Yes</v>
      </c>
      <c r="J93" s="21" t="s">
        <v>158</v>
      </c>
      <c r="K93" s="21" t="s">
        <v>300</v>
      </c>
      <c r="L93" s="21" t="s">
        <v>301</v>
      </c>
    </row>
    <row r="94" customFormat="false" ht="21.75" hidden="false" customHeight="true" outlineLevel="0" collapsed="false">
      <c r="A94" s="21" t="s">
        <v>154</v>
      </c>
      <c r="B94" s="21" t="s">
        <v>70</v>
      </c>
      <c r="C94" s="21" t="s">
        <v>155</v>
      </c>
      <c r="D94" s="21" t="s">
        <v>208</v>
      </c>
      <c r="E94" s="21" t="s">
        <v>60</v>
      </c>
      <c r="F94" s="37" t="n">
        <v>0</v>
      </c>
      <c r="G94" s="38"/>
      <c r="H94" s="21" t="s">
        <v>279</v>
      </c>
      <c r="I94" s="21" t="str">
        <f aca="false">IF(AND(H94="Yes",F94&gt;0),"Yes","No")</f>
        <v>No</v>
      </c>
      <c r="J94" s="21" t="s">
        <v>158</v>
      </c>
      <c r="K94" s="21" t="s">
        <v>300</v>
      </c>
      <c r="L94" s="21" t="s">
        <v>301</v>
      </c>
    </row>
    <row r="95" customFormat="false" ht="15" hidden="false" customHeight="true" outlineLevel="0" collapsed="false">
      <c r="A95" s="21" t="s">
        <v>159</v>
      </c>
      <c r="B95" s="21" t="s">
        <v>52</v>
      </c>
      <c r="C95" s="21" t="s">
        <v>155</v>
      </c>
      <c r="D95" s="21" t="s">
        <v>155</v>
      </c>
      <c r="E95" s="21" t="s">
        <v>60</v>
      </c>
      <c r="F95" s="37" t="n">
        <v>443</v>
      </c>
      <c r="G95" s="38" t="n">
        <v>6.7</v>
      </c>
      <c r="H95" s="21" t="s">
        <v>279</v>
      </c>
      <c r="I95" s="21" t="str">
        <f aca="false">IF(AND(H95="Yes",F95&gt;0),"Yes","No")</f>
        <v>Yes</v>
      </c>
      <c r="J95" s="21" t="s">
        <v>136</v>
      </c>
      <c r="K95" s="21" t="s">
        <v>302</v>
      </c>
      <c r="L95" s="21"/>
    </row>
    <row r="96" customFormat="false" ht="15" hidden="false" customHeight="true" outlineLevel="0" collapsed="false">
      <c r="A96" s="21" t="s">
        <v>159</v>
      </c>
      <c r="B96" s="21" t="s">
        <v>52</v>
      </c>
      <c r="C96" s="21" t="s">
        <v>155</v>
      </c>
      <c r="D96" s="21" t="s">
        <v>170</v>
      </c>
      <c r="E96" s="21" t="s">
        <v>60</v>
      </c>
      <c r="F96" s="37" t="n">
        <v>2091</v>
      </c>
      <c r="G96" s="38" t="n">
        <v>6.84</v>
      </c>
      <c r="H96" s="21" t="s">
        <v>279</v>
      </c>
      <c r="I96" s="21" t="str">
        <f aca="false">IF(AND(H96="Yes",F96&gt;0),"Yes","No")</f>
        <v>Yes</v>
      </c>
      <c r="J96" s="21" t="s">
        <v>136</v>
      </c>
      <c r="K96" s="21" t="s">
        <v>302</v>
      </c>
      <c r="L96" s="21"/>
    </row>
    <row r="97" customFormat="false" ht="15" hidden="false" customHeight="true" outlineLevel="0" collapsed="false">
      <c r="A97" s="21" t="s">
        <v>159</v>
      </c>
      <c r="B97" s="21" t="s">
        <v>52</v>
      </c>
      <c r="C97" s="21" t="s">
        <v>155</v>
      </c>
      <c r="D97" s="21" t="s">
        <v>189</v>
      </c>
      <c r="E97" s="21" t="s">
        <v>60</v>
      </c>
      <c r="F97" s="37" t="n">
        <v>1924</v>
      </c>
      <c r="G97" s="38" t="n">
        <v>6.68</v>
      </c>
      <c r="H97" s="21" t="s">
        <v>279</v>
      </c>
      <c r="I97" s="21" t="str">
        <f aca="false">IF(AND(H97="Yes",F97&gt;0),"Yes","No")</f>
        <v>Yes</v>
      </c>
      <c r="J97" s="21" t="s">
        <v>136</v>
      </c>
      <c r="K97" s="21" t="s">
        <v>302</v>
      </c>
      <c r="L97" s="21"/>
    </row>
    <row r="98" customFormat="false" ht="15" hidden="false" customHeight="true" outlineLevel="0" collapsed="false">
      <c r="A98" s="21" t="s">
        <v>159</v>
      </c>
      <c r="B98" s="21" t="s">
        <v>52</v>
      </c>
      <c r="C98" s="21" t="s">
        <v>155</v>
      </c>
      <c r="D98" s="21" t="s">
        <v>208</v>
      </c>
      <c r="E98" s="21" t="s">
        <v>60</v>
      </c>
      <c r="F98" s="37" t="n">
        <v>2826</v>
      </c>
      <c r="G98" s="38" t="n">
        <v>6.87</v>
      </c>
      <c r="H98" s="21" t="s">
        <v>279</v>
      </c>
      <c r="I98" s="21" t="str">
        <f aca="false">IF(AND(H98="Yes",F98&gt;0),"Yes","No")</f>
        <v>Yes</v>
      </c>
      <c r="J98" s="21" t="s">
        <v>136</v>
      </c>
      <c r="K98" s="21" t="s">
        <v>302</v>
      </c>
      <c r="L98" s="21"/>
    </row>
    <row r="99" customFormat="false" ht="21.75" hidden="false" customHeight="true" outlineLevel="0" collapsed="false">
      <c r="A99" s="21" t="s">
        <v>162</v>
      </c>
      <c r="B99" s="21" t="s">
        <v>70</v>
      </c>
      <c r="C99" s="21" t="s">
        <v>155</v>
      </c>
      <c r="D99" s="21" t="s">
        <v>155</v>
      </c>
      <c r="E99" s="21" t="s">
        <v>60</v>
      </c>
      <c r="F99" s="37" t="n">
        <v>87</v>
      </c>
      <c r="G99" s="38"/>
      <c r="H99" s="21" t="s">
        <v>279</v>
      </c>
      <c r="I99" s="21" t="str">
        <f aca="false">IF(AND(H99="Yes",F99&gt;0),"Yes","No")</f>
        <v>Yes</v>
      </c>
      <c r="J99" s="21" t="s">
        <v>158</v>
      </c>
      <c r="K99" s="21" t="s">
        <v>303</v>
      </c>
      <c r="L99" s="21" t="s">
        <v>304</v>
      </c>
    </row>
    <row r="100" customFormat="false" ht="21.75" hidden="false" customHeight="true" outlineLevel="0" collapsed="false">
      <c r="A100" s="21" t="s">
        <v>162</v>
      </c>
      <c r="B100" s="21" t="s">
        <v>70</v>
      </c>
      <c r="C100" s="21" t="s">
        <v>155</v>
      </c>
      <c r="D100" s="21" t="s">
        <v>170</v>
      </c>
      <c r="E100" s="21" t="s">
        <v>60</v>
      </c>
      <c r="F100" s="37" t="n">
        <v>332</v>
      </c>
      <c r="G100" s="38" t="n">
        <v>6.18</v>
      </c>
      <c r="H100" s="21" t="s">
        <v>279</v>
      </c>
      <c r="I100" s="21" t="str">
        <f aca="false">IF(AND(H100="Yes",F100&gt;0),"Yes","No")</f>
        <v>Yes</v>
      </c>
      <c r="J100" s="21" t="s">
        <v>158</v>
      </c>
      <c r="K100" s="21" t="s">
        <v>303</v>
      </c>
      <c r="L100" s="21" t="s">
        <v>304</v>
      </c>
    </row>
    <row r="101" customFormat="false" ht="15" hidden="false" customHeight="true" outlineLevel="0" collapsed="false">
      <c r="A101" s="21" t="s">
        <v>165</v>
      </c>
      <c r="B101" s="21" t="s">
        <v>81</v>
      </c>
      <c r="C101" s="21" t="s">
        <v>155</v>
      </c>
      <c r="D101" s="21" t="s">
        <v>155</v>
      </c>
      <c r="E101" s="21" t="s">
        <v>85</v>
      </c>
      <c r="F101" s="37" t="n">
        <v>9</v>
      </c>
      <c r="G101" s="38"/>
      <c r="H101" s="21" t="s">
        <v>279</v>
      </c>
      <c r="I101" s="21" t="str">
        <f aca="false">IF(AND(H101="Yes",F101&gt;0),"Yes","No")</f>
        <v>Yes</v>
      </c>
      <c r="J101" s="21" t="s">
        <v>153</v>
      </c>
      <c r="K101" s="21" t="s">
        <v>305</v>
      </c>
      <c r="L101" s="21" t="s">
        <v>306</v>
      </c>
    </row>
    <row r="102" customFormat="false" ht="15" hidden="false" customHeight="true" outlineLevel="0" collapsed="false">
      <c r="A102" s="21" t="s">
        <v>165</v>
      </c>
      <c r="B102" s="21" t="s">
        <v>81</v>
      </c>
      <c r="C102" s="21" t="s">
        <v>155</v>
      </c>
      <c r="D102" s="21" t="s">
        <v>170</v>
      </c>
      <c r="E102" s="21" t="s">
        <v>85</v>
      </c>
      <c r="F102" s="37" t="n">
        <v>20</v>
      </c>
      <c r="G102" s="38" t="n">
        <v>6.56</v>
      </c>
      <c r="H102" s="21" t="s">
        <v>279</v>
      </c>
      <c r="I102" s="21" t="str">
        <f aca="false">IF(AND(H102="Yes",F102&gt;0),"Yes","No")</f>
        <v>Yes</v>
      </c>
      <c r="J102" s="21" t="s">
        <v>153</v>
      </c>
      <c r="K102" s="21" t="s">
        <v>305</v>
      </c>
      <c r="L102" s="21" t="s">
        <v>306</v>
      </c>
    </row>
    <row r="103" customFormat="false" ht="15" hidden="false" customHeight="true" outlineLevel="0" collapsed="false">
      <c r="A103" s="21" t="s">
        <v>166</v>
      </c>
      <c r="B103" s="21" t="s">
        <v>64</v>
      </c>
      <c r="C103" s="21" t="s">
        <v>155</v>
      </c>
      <c r="D103" s="21" t="s">
        <v>155</v>
      </c>
      <c r="E103" s="21" t="s">
        <v>60</v>
      </c>
      <c r="F103" s="37" t="n">
        <v>31</v>
      </c>
      <c r="G103" s="38"/>
      <c r="H103" s="21" t="s">
        <v>279</v>
      </c>
      <c r="I103" s="21" t="str">
        <f aca="false">IF(AND(H103="Yes",F103&gt;0),"Yes","No")</f>
        <v>Yes</v>
      </c>
      <c r="J103" s="21" t="s">
        <v>158</v>
      </c>
      <c r="K103" s="21" t="s">
        <v>305</v>
      </c>
      <c r="L103" s="21" t="s">
        <v>307</v>
      </c>
    </row>
    <row r="104" customFormat="false" ht="21.75" hidden="false" customHeight="true" outlineLevel="0" collapsed="false">
      <c r="A104" s="21" t="s">
        <v>169</v>
      </c>
      <c r="B104" s="21" t="s">
        <v>70</v>
      </c>
      <c r="C104" s="21" t="s">
        <v>170</v>
      </c>
      <c r="D104" s="21" t="s">
        <v>170</v>
      </c>
      <c r="E104" s="21" t="s">
        <v>60</v>
      </c>
      <c r="F104" s="37" t="n">
        <v>1305</v>
      </c>
      <c r="G104" s="38" t="n">
        <v>7.19</v>
      </c>
      <c r="H104" s="21" t="s">
        <v>279</v>
      </c>
      <c r="I104" s="21" t="str">
        <f aca="false">IF(AND(H104="Yes",F104&gt;0),"Yes","No")</f>
        <v>Yes</v>
      </c>
      <c r="J104" s="21" t="s">
        <v>136</v>
      </c>
      <c r="K104" s="21" t="s">
        <v>308</v>
      </c>
      <c r="L104" s="21" t="s">
        <v>309</v>
      </c>
    </row>
    <row r="105" customFormat="false" ht="21.75" hidden="false" customHeight="true" outlineLevel="0" collapsed="false">
      <c r="A105" s="21" t="s">
        <v>169</v>
      </c>
      <c r="B105" s="21" t="s">
        <v>70</v>
      </c>
      <c r="C105" s="21" t="s">
        <v>170</v>
      </c>
      <c r="D105" s="21" t="s">
        <v>189</v>
      </c>
      <c r="E105" s="21" t="s">
        <v>60</v>
      </c>
      <c r="F105" s="37" t="n">
        <v>1326</v>
      </c>
      <c r="G105" s="38" t="n">
        <v>6.98</v>
      </c>
      <c r="H105" s="21" t="s">
        <v>279</v>
      </c>
      <c r="I105" s="21" t="str">
        <f aca="false">IF(AND(H105="Yes",F105&gt;0),"Yes","No")</f>
        <v>Yes</v>
      </c>
      <c r="J105" s="21" t="s">
        <v>136</v>
      </c>
      <c r="K105" s="21" t="s">
        <v>308</v>
      </c>
      <c r="L105" s="21" t="s">
        <v>309</v>
      </c>
    </row>
    <row r="106" customFormat="false" ht="21.75" hidden="false" customHeight="true" outlineLevel="0" collapsed="false">
      <c r="A106" s="21" t="s">
        <v>169</v>
      </c>
      <c r="B106" s="21" t="s">
        <v>70</v>
      </c>
      <c r="C106" s="21" t="s">
        <v>170</v>
      </c>
      <c r="D106" s="21" t="s">
        <v>208</v>
      </c>
      <c r="E106" s="21" t="s">
        <v>60</v>
      </c>
      <c r="F106" s="37" t="n">
        <v>2562</v>
      </c>
      <c r="G106" s="38" t="n">
        <v>7.01</v>
      </c>
      <c r="H106" s="21" t="s">
        <v>279</v>
      </c>
      <c r="I106" s="21" t="str">
        <f aca="false">IF(AND(H106="Yes",F106&gt;0),"Yes","No")</f>
        <v>Yes</v>
      </c>
      <c r="J106" s="21" t="s">
        <v>136</v>
      </c>
      <c r="K106" s="21" t="s">
        <v>308</v>
      </c>
      <c r="L106" s="21" t="s">
        <v>309</v>
      </c>
    </row>
    <row r="107" customFormat="false" ht="21.75" hidden="false" customHeight="true" outlineLevel="0" collapsed="false">
      <c r="A107" s="21" t="s">
        <v>172</v>
      </c>
      <c r="B107" s="21" t="s">
        <v>70</v>
      </c>
      <c r="C107" s="21" t="s">
        <v>170</v>
      </c>
      <c r="D107" s="21" t="s">
        <v>170</v>
      </c>
      <c r="E107" s="21" t="s">
        <v>60</v>
      </c>
      <c r="F107" s="37" t="n">
        <v>224</v>
      </c>
      <c r="G107" s="38" t="n">
        <v>6.34</v>
      </c>
      <c r="H107" s="21" t="s">
        <v>279</v>
      </c>
      <c r="I107" s="21" t="str">
        <f aca="false">IF(AND(H107="Yes",F107&gt;0),"Yes","No")</f>
        <v>Yes</v>
      </c>
      <c r="J107" s="21" t="s">
        <v>158</v>
      </c>
      <c r="K107" s="21" t="s">
        <v>310</v>
      </c>
      <c r="L107" s="21" t="s">
        <v>311</v>
      </c>
    </row>
    <row r="108" customFormat="false" ht="21.75" hidden="false" customHeight="true" outlineLevel="0" collapsed="false">
      <c r="A108" s="21" t="s">
        <v>172</v>
      </c>
      <c r="B108" s="21" t="s">
        <v>70</v>
      </c>
      <c r="C108" s="21" t="s">
        <v>170</v>
      </c>
      <c r="D108" s="21" t="s">
        <v>189</v>
      </c>
      <c r="E108" s="21" t="s">
        <v>60</v>
      </c>
      <c r="F108" s="37" t="n">
        <v>52</v>
      </c>
      <c r="G108" s="38"/>
      <c r="H108" s="21" t="s">
        <v>279</v>
      </c>
      <c r="I108" s="21" t="str">
        <f aca="false">IF(AND(H108="Yes",F108&gt;0),"Yes","No")</f>
        <v>Yes</v>
      </c>
      <c r="J108" s="21" t="s">
        <v>158</v>
      </c>
      <c r="K108" s="21" t="s">
        <v>310</v>
      </c>
      <c r="L108" s="21" t="s">
        <v>311</v>
      </c>
    </row>
    <row r="109" customFormat="false" ht="15" hidden="false" customHeight="true" outlineLevel="0" collapsed="false">
      <c r="A109" s="21" t="s">
        <v>177</v>
      </c>
      <c r="B109" s="21" t="s">
        <v>81</v>
      </c>
      <c r="C109" s="21" t="s">
        <v>170</v>
      </c>
      <c r="D109" s="21" t="s">
        <v>170</v>
      </c>
      <c r="E109" s="21" t="s">
        <v>85</v>
      </c>
      <c r="F109" s="37" t="n">
        <v>18</v>
      </c>
      <c r="G109" s="38"/>
      <c r="H109" s="21" t="s">
        <v>279</v>
      </c>
      <c r="I109" s="21" t="str">
        <f aca="false">IF(AND(H109="Yes",F109&gt;0),"Yes","No")</f>
        <v>Yes</v>
      </c>
      <c r="J109" s="21" t="s">
        <v>136</v>
      </c>
      <c r="K109" s="21" t="s">
        <v>312</v>
      </c>
      <c r="L109" s="21"/>
    </row>
    <row r="110" customFormat="false" ht="15" hidden="false" customHeight="true" outlineLevel="0" collapsed="false">
      <c r="A110" s="21" t="s">
        <v>177</v>
      </c>
      <c r="B110" s="21" t="s">
        <v>81</v>
      </c>
      <c r="C110" s="21" t="s">
        <v>170</v>
      </c>
      <c r="D110" s="21" t="s">
        <v>189</v>
      </c>
      <c r="E110" s="21" t="s">
        <v>85</v>
      </c>
      <c r="F110" s="37" t="n">
        <v>38</v>
      </c>
      <c r="G110" s="38" t="n">
        <v>7.03</v>
      </c>
      <c r="H110" s="21" t="s">
        <v>279</v>
      </c>
      <c r="I110" s="21" t="str">
        <f aca="false">IF(AND(H110="Yes",F110&gt;0),"Yes","No")</f>
        <v>Yes</v>
      </c>
      <c r="J110" s="21" t="s">
        <v>136</v>
      </c>
      <c r="K110" s="21" t="s">
        <v>312</v>
      </c>
      <c r="L110" s="21"/>
    </row>
    <row r="111" customFormat="false" ht="15" hidden="false" customHeight="true" outlineLevel="0" collapsed="false">
      <c r="A111" s="21" t="s">
        <v>177</v>
      </c>
      <c r="B111" s="21" t="s">
        <v>81</v>
      </c>
      <c r="C111" s="21" t="s">
        <v>170</v>
      </c>
      <c r="D111" s="21" t="s">
        <v>208</v>
      </c>
      <c r="E111" s="21" t="s">
        <v>85</v>
      </c>
      <c r="F111" s="37" t="n">
        <v>37</v>
      </c>
      <c r="G111" s="38" t="n">
        <v>7.01</v>
      </c>
      <c r="H111" s="21" t="s">
        <v>279</v>
      </c>
      <c r="I111" s="21" t="str">
        <f aca="false">IF(AND(H111="Yes",F111&gt;0),"Yes","No")</f>
        <v>Yes</v>
      </c>
      <c r="J111" s="21" t="s">
        <v>136</v>
      </c>
      <c r="K111" s="21" t="s">
        <v>312</v>
      </c>
      <c r="L111" s="21"/>
    </row>
    <row r="112" customFormat="false" ht="15" hidden="false" customHeight="true" outlineLevel="0" collapsed="false">
      <c r="A112" s="21" t="s">
        <v>179</v>
      </c>
      <c r="B112" s="21" t="s">
        <v>52</v>
      </c>
      <c r="C112" s="21" t="s">
        <v>170</v>
      </c>
      <c r="D112" s="21" t="s">
        <v>170</v>
      </c>
      <c r="E112" s="21" t="s">
        <v>60</v>
      </c>
      <c r="F112" s="37" t="n">
        <v>1439</v>
      </c>
      <c r="G112" s="38" t="n">
        <v>7.33</v>
      </c>
      <c r="H112" s="21" t="s">
        <v>279</v>
      </c>
      <c r="I112" s="21" t="str">
        <f aca="false">IF(AND(H112="Yes",F112&gt;0),"Yes","No")</f>
        <v>Yes</v>
      </c>
      <c r="J112" s="21" t="s">
        <v>136</v>
      </c>
      <c r="K112" s="21" t="s">
        <v>313</v>
      </c>
      <c r="L112" s="21"/>
    </row>
    <row r="113" customFormat="false" ht="15" hidden="false" customHeight="true" outlineLevel="0" collapsed="false">
      <c r="A113" s="21" t="s">
        <v>179</v>
      </c>
      <c r="B113" s="21" t="s">
        <v>52</v>
      </c>
      <c r="C113" s="21" t="s">
        <v>170</v>
      </c>
      <c r="D113" s="21" t="s">
        <v>189</v>
      </c>
      <c r="E113" s="21" t="s">
        <v>60</v>
      </c>
      <c r="F113" s="37" t="n">
        <v>3233</v>
      </c>
      <c r="G113" s="38" t="n">
        <v>7.38</v>
      </c>
      <c r="H113" s="21" t="s">
        <v>279</v>
      </c>
      <c r="I113" s="21" t="str">
        <f aca="false">IF(AND(H113="Yes",F113&gt;0),"Yes","No")</f>
        <v>Yes</v>
      </c>
      <c r="J113" s="21" t="s">
        <v>136</v>
      </c>
      <c r="K113" s="21" t="s">
        <v>313</v>
      </c>
      <c r="L113" s="21"/>
    </row>
    <row r="114" customFormat="false" ht="15" hidden="false" customHeight="true" outlineLevel="0" collapsed="false">
      <c r="A114" s="21" t="s">
        <v>179</v>
      </c>
      <c r="B114" s="21" t="s">
        <v>52</v>
      </c>
      <c r="C114" s="21" t="s">
        <v>170</v>
      </c>
      <c r="D114" s="21" t="s">
        <v>208</v>
      </c>
      <c r="E114" s="21" t="s">
        <v>60</v>
      </c>
      <c r="F114" s="37" t="n">
        <v>2403</v>
      </c>
      <c r="G114" s="38" t="n">
        <v>7.15</v>
      </c>
      <c r="H114" s="21" t="s">
        <v>279</v>
      </c>
      <c r="I114" s="21" t="str">
        <f aca="false">IF(AND(H114="Yes",F114&gt;0),"Yes","No")</f>
        <v>Yes</v>
      </c>
      <c r="J114" s="21" t="s">
        <v>136</v>
      </c>
      <c r="K114" s="21" t="s">
        <v>313</v>
      </c>
      <c r="L114" s="21"/>
    </row>
    <row r="115" customFormat="false" ht="15" hidden="false" customHeight="true" outlineLevel="0" collapsed="false">
      <c r="A115" s="21" t="s">
        <v>183</v>
      </c>
      <c r="B115" s="21" t="s">
        <v>52</v>
      </c>
      <c r="C115" s="21" t="s">
        <v>170</v>
      </c>
      <c r="D115" s="21" t="s">
        <v>170</v>
      </c>
      <c r="E115" s="21" t="s">
        <v>60</v>
      </c>
      <c r="F115" s="37" t="n">
        <v>0</v>
      </c>
      <c r="G115" s="38"/>
      <c r="H115" s="21" t="s">
        <v>279</v>
      </c>
      <c r="I115" s="21" t="str">
        <f aca="false">IF(AND(H115="Yes",F115&gt;0),"Yes","No")</f>
        <v>No</v>
      </c>
      <c r="J115" s="21" t="s">
        <v>153</v>
      </c>
      <c r="K115" s="21" t="s">
        <v>305</v>
      </c>
      <c r="L115" s="21" t="s">
        <v>314</v>
      </c>
    </row>
    <row r="116" customFormat="false" ht="15" hidden="false" customHeight="true" outlineLevel="0" collapsed="false">
      <c r="A116" s="21" t="s">
        <v>186</v>
      </c>
      <c r="B116" s="21" t="s">
        <v>70</v>
      </c>
      <c r="C116" s="21" t="s">
        <v>170</v>
      </c>
      <c r="D116" s="21" t="s">
        <v>170</v>
      </c>
      <c r="E116" s="21" t="s">
        <v>60</v>
      </c>
      <c r="F116" s="37" t="n">
        <v>2403</v>
      </c>
      <c r="G116" s="38" t="n">
        <v>7.15</v>
      </c>
      <c r="H116" s="21" t="s">
        <v>279</v>
      </c>
      <c r="I116" s="21" t="str">
        <f aca="false">IF(AND(H116="Yes",F116&gt;0),"Yes","No")</f>
        <v>Yes</v>
      </c>
      <c r="J116" s="21" t="s">
        <v>136</v>
      </c>
      <c r="K116" s="21" t="s">
        <v>315</v>
      </c>
      <c r="L116" s="21"/>
    </row>
    <row r="117" customFormat="false" ht="15" hidden="false" customHeight="true" outlineLevel="0" collapsed="false">
      <c r="A117" s="21" t="s">
        <v>186</v>
      </c>
      <c r="B117" s="21" t="s">
        <v>70</v>
      </c>
      <c r="C117" s="21" t="s">
        <v>170</v>
      </c>
      <c r="D117" s="21" t="s">
        <v>189</v>
      </c>
      <c r="E117" s="21" t="s">
        <v>60</v>
      </c>
      <c r="F117" s="37" t="n">
        <v>2276</v>
      </c>
      <c r="G117" s="38" t="n">
        <v>6.77</v>
      </c>
      <c r="H117" s="21" t="s">
        <v>279</v>
      </c>
      <c r="I117" s="21" t="str">
        <f aca="false">IF(AND(H117="Yes",F117&gt;0),"Yes","No")</f>
        <v>Yes</v>
      </c>
      <c r="J117" s="21" t="s">
        <v>136</v>
      </c>
      <c r="K117" s="21" t="s">
        <v>315</v>
      </c>
      <c r="L117" s="21"/>
    </row>
    <row r="118" customFormat="false" ht="15" hidden="false" customHeight="true" outlineLevel="0" collapsed="false">
      <c r="A118" s="21" t="s">
        <v>186</v>
      </c>
      <c r="B118" s="21" t="s">
        <v>70</v>
      </c>
      <c r="C118" s="21" t="s">
        <v>170</v>
      </c>
      <c r="D118" s="21" t="s">
        <v>208</v>
      </c>
      <c r="E118" s="21" t="s">
        <v>60</v>
      </c>
      <c r="F118" s="37" t="n">
        <v>1724</v>
      </c>
      <c r="G118" s="38" t="n">
        <v>6.73</v>
      </c>
      <c r="H118" s="21" t="s">
        <v>279</v>
      </c>
      <c r="I118" s="21" t="str">
        <f aca="false">IF(AND(H118="Yes",F118&gt;0),"Yes","No")</f>
        <v>Yes</v>
      </c>
      <c r="J118" s="21" t="s">
        <v>136</v>
      </c>
      <c r="K118" s="21" t="s">
        <v>315</v>
      </c>
      <c r="L118" s="21"/>
    </row>
    <row r="119" customFormat="false" ht="15" hidden="false" customHeight="true" outlineLevel="0" collapsed="false">
      <c r="A119" s="21" t="s">
        <v>188</v>
      </c>
      <c r="B119" s="21" t="s">
        <v>64</v>
      </c>
      <c r="C119" s="21" t="s">
        <v>189</v>
      </c>
      <c r="D119" s="21" t="s">
        <v>189</v>
      </c>
      <c r="E119" s="21" t="s">
        <v>60</v>
      </c>
      <c r="F119" s="37" t="n">
        <v>1026</v>
      </c>
      <c r="G119" s="38" t="n">
        <v>6.45</v>
      </c>
      <c r="H119" s="21" t="s">
        <v>279</v>
      </c>
      <c r="I119" s="21" t="str">
        <f aca="false">IF(AND(H119="Yes",F119&gt;0),"Yes","No")</f>
        <v>Yes</v>
      </c>
      <c r="J119" s="21" t="s">
        <v>136</v>
      </c>
      <c r="K119" s="21" t="s">
        <v>316</v>
      </c>
      <c r="L119" s="21"/>
    </row>
    <row r="120" customFormat="false" ht="15" hidden="false" customHeight="true" outlineLevel="0" collapsed="false">
      <c r="A120" s="21" t="s">
        <v>188</v>
      </c>
      <c r="B120" s="21" t="s">
        <v>64</v>
      </c>
      <c r="C120" s="21" t="s">
        <v>189</v>
      </c>
      <c r="D120" s="21" t="s">
        <v>208</v>
      </c>
      <c r="E120" s="21" t="s">
        <v>60</v>
      </c>
      <c r="F120" s="37" t="n">
        <v>416</v>
      </c>
      <c r="G120" s="38"/>
      <c r="H120" s="21" t="s">
        <v>279</v>
      </c>
      <c r="I120" s="21" t="str">
        <f aca="false">IF(AND(H120="Yes",F120&gt;0),"Yes","No")</f>
        <v>Yes</v>
      </c>
      <c r="J120" s="21" t="s">
        <v>136</v>
      </c>
      <c r="K120" s="21" t="s">
        <v>316</v>
      </c>
      <c r="L120" s="21" t="s">
        <v>317</v>
      </c>
    </row>
    <row r="121" customFormat="false" ht="15" hidden="false" customHeight="true" outlineLevel="0" collapsed="false">
      <c r="A121" s="21" t="s">
        <v>191</v>
      </c>
      <c r="B121" s="21" t="s">
        <v>52</v>
      </c>
      <c r="C121" s="21" t="s">
        <v>189</v>
      </c>
      <c r="D121" s="21" t="s">
        <v>189</v>
      </c>
      <c r="E121" s="21" t="s">
        <v>60</v>
      </c>
      <c r="F121" s="37" t="n">
        <v>3118</v>
      </c>
      <c r="G121" s="38" t="n">
        <v>6.98</v>
      </c>
      <c r="H121" s="21" t="s">
        <v>279</v>
      </c>
      <c r="I121" s="21" t="str">
        <f aca="false">IF(AND(H121="Yes",F121&gt;0),"Yes","No")</f>
        <v>Yes</v>
      </c>
      <c r="J121" s="21" t="s">
        <v>136</v>
      </c>
      <c r="K121" s="21" t="s">
        <v>318</v>
      </c>
      <c r="L121" s="21"/>
    </row>
    <row r="122" customFormat="false" ht="15" hidden="false" customHeight="true" outlineLevel="0" collapsed="false">
      <c r="A122" s="21" t="s">
        <v>191</v>
      </c>
      <c r="B122" s="21" t="s">
        <v>52</v>
      </c>
      <c r="C122" s="21" t="s">
        <v>189</v>
      </c>
      <c r="D122" s="21" t="s">
        <v>208</v>
      </c>
      <c r="E122" s="21" t="s">
        <v>60</v>
      </c>
      <c r="F122" s="37" t="n">
        <v>3087</v>
      </c>
      <c r="G122" s="38" t="n">
        <v>7.04</v>
      </c>
      <c r="H122" s="21" t="s">
        <v>279</v>
      </c>
      <c r="I122" s="21" t="str">
        <f aca="false">IF(AND(H122="Yes",F122&gt;0),"Yes","No")</f>
        <v>Yes</v>
      </c>
      <c r="J122" s="21" t="s">
        <v>136</v>
      </c>
      <c r="K122" s="21" t="s">
        <v>318</v>
      </c>
      <c r="L122" s="21"/>
    </row>
    <row r="123" customFormat="false" ht="15" hidden="false" customHeight="true" outlineLevel="0" collapsed="false">
      <c r="A123" s="21" t="s">
        <v>194</v>
      </c>
      <c r="B123" s="21" t="s">
        <v>64</v>
      </c>
      <c r="C123" s="21" t="s">
        <v>189</v>
      </c>
      <c r="D123" s="21" t="s">
        <v>189</v>
      </c>
      <c r="E123" s="21" t="s">
        <v>60</v>
      </c>
      <c r="F123" s="37" t="n">
        <v>2714</v>
      </c>
      <c r="G123" s="38" t="n">
        <v>7.07</v>
      </c>
      <c r="H123" s="21" t="s">
        <v>279</v>
      </c>
      <c r="I123" s="21" t="str">
        <f aca="false">IF(AND(H123="Yes",F123&gt;0),"Yes","No")</f>
        <v>Yes</v>
      </c>
      <c r="J123" s="21" t="s">
        <v>136</v>
      </c>
      <c r="K123" s="21" t="s">
        <v>319</v>
      </c>
      <c r="L123" s="21"/>
    </row>
    <row r="124" customFormat="false" ht="15" hidden="false" customHeight="true" outlineLevel="0" collapsed="false">
      <c r="A124" s="21" t="s">
        <v>194</v>
      </c>
      <c r="B124" s="21" t="s">
        <v>64</v>
      </c>
      <c r="C124" s="21" t="s">
        <v>189</v>
      </c>
      <c r="D124" s="21" t="s">
        <v>208</v>
      </c>
      <c r="E124" s="21" t="s">
        <v>60</v>
      </c>
      <c r="F124" s="37" t="n">
        <v>2176</v>
      </c>
      <c r="G124" s="38" t="n">
        <v>6.91</v>
      </c>
      <c r="H124" s="21" t="s">
        <v>279</v>
      </c>
      <c r="I124" s="21" t="str">
        <f aca="false">IF(AND(H124="Yes",F124&gt;0),"Yes","No")</f>
        <v>Yes</v>
      </c>
      <c r="J124" s="21" t="s">
        <v>136</v>
      </c>
      <c r="K124" s="21" t="s">
        <v>319</v>
      </c>
      <c r="L124" s="21"/>
    </row>
    <row r="125" customFormat="false" ht="15" hidden="false" customHeight="true" outlineLevel="0" collapsed="false">
      <c r="A125" s="21" t="s">
        <v>197</v>
      </c>
      <c r="B125" s="21" t="s">
        <v>52</v>
      </c>
      <c r="C125" s="21" t="s">
        <v>189</v>
      </c>
      <c r="D125" s="21" t="s">
        <v>189</v>
      </c>
      <c r="E125" s="21" t="s">
        <v>60</v>
      </c>
      <c r="F125" s="37" t="n">
        <v>90</v>
      </c>
      <c r="G125" s="38"/>
      <c r="H125" s="21" t="s">
        <v>279</v>
      </c>
      <c r="I125" s="21" t="str">
        <f aca="false">IF(AND(H125="Yes",F125&gt;0),"Yes","No")</f>
        <v>Yes</v>
      </c>
      <c r="J125" s="21" t="s">
        <v>136</v>
      </c>
      <c r="K125" s="21" t="s">
        <v>320</v>
      </c>
      <c r="L125" s="21" t="s">
        <v>321</v>
      </c>
    </row>
    <row r="126" customFormat="false" ht="15" hidden="false" customHeight="true" outlineLevel="0" collapsed="false">
      <c r="A126" s="21" t="s">
        <v>197</v>
      </c>
      <c r="B126" s="21" t="s">
        <v>52</v>
      </c>
      <c r="C126" s="21" t="s">
        <v>189</v>
      </c>
      <c r="D126" s="21" t="s">
        <v>208</v>
      </c>
      <c r="E126" s="21" t="s">
        <v>60</v>
      </c>
      <c r="F126" s="37" t="n">
        <v>554</v>
      </c>
      <c r="G126" s="38" t="n">
        <v>6.7</v>
      </c>
      <c r="H126" s="21" t="s">
        <v>279</v>
      </c>
      <c r="I126" s="21" t="str">
        <f aca="false">IF(AND(H126="Yes",F126&gt;0),"Yes","No")</f>
        <v>Yes</v>
      </c>
      <c r="J126" s="21" t="s">
        <v>136</v>
      </c>
      <c r="K126" s="21" t="s">
        <v>320</v>
      </c>
      <c r="L126" s="21" t="s">
        <v>321</v>
      </c>
    </row>
    <row r="127" customFormat="false" ht="15" hidden="false" customHeight="true" outlineLevel="0" collapsed="false">
      <c r="A127" s="21" t="s">
        <v>200</v>
      </c>
      <c r="B127" s="21" t="s">
        <v>64</v>
      </c>
      <c r="C127" s="21" t="s">
        <v>189</v>
      </c>
      <c r="D127" s="21" t="s">
        <v>189</v>
      </c>
      <c r="E127" s="21" t="s">
        <v>60</v>
      </c>
      <c r="F127" s="37" t="n">
        <v>135</v>
      </c>
      <c r="G127" s="38" t="n">
        <v>6.58</v>
      </c>
      <c r="H127" s="21" t="s">
        <v>279</v>
      </c>
      <c r="I127" s="21" t="str">
        <f aca="false">IF(AND(H127="Yes",F127&gt;0),"Yes","No")</f>
        <v>Yes</v>
      </c>
      <c r="J127" s="21" t="s">
        <v>136</v>
      </c>
      <c r="K127" s="21" t="s">
        <v>322</v>
      </c>
      <c r="L127" s="21" t="s">
        <v>323</v>
      </c>
    </row>
    <row r="128" customFormat="false" ht="15" hidden="false" customHeight="true" outlineLevel="0" collapsed="false">
      <c r="A128" s="21" t="s">
        <v>200</v>
      </c>
      <c r="B128" s="21" t="s">
        <v>64</v>
      </c>
      <c r="C128" s="21" t="s">
        <v>189</v>
      </c>
      <c r="D128" s="21" t="s">
        <v>208</v>
      </c>
      <c r="E128" s="21" t="s">
        <v>60</v>
      </c>
      <c r="F128" s="37" t="n">
        <v>40</v>
      </c>
      <c r="G128" s="38"/>
      <c r="H128" s="21" t="s">
        <v>291</v>
      </c>
      <c r="I128" s="21" t="str">
        <f aca="false">IF(AND(H128="Yes",F128&gt;0),"Yes","No")</f>
        <v>No</v>
      </c>
      <c r="J128" s="21" t="s">
        <v>136</v>
      </c>
      <c r="K128" s="21" t="s">
        <v>322</v>
      </c>
      <c r="L128" s="21" t="s">
        <v>324</v>
      </c>
    </row>
    <row r="129" customFormat="false" ht="15" hidden="false" customHeight="true" outlineLevel="0" collapsed="false">
      <c r="A129" s="21" t="s">
        <v>203</v>
      </c>
      <c r="B129" s="21" t="s">
        <v>70</v>
      </c>
      <c r="C129" s="21" t="s">
        <v>189</v>
      </c>
      <c r="D129" s="21" t="s">
        <v>189</v>
      </c>
      <c r="E129" s="21" t="s">
        <v>60</v>
      </c>
      <c r="F129" s="37" t="n">
        <v>1554</v>
      </c>
      <c r="G129" s="38" t="n">
        <v>6.55</v>
      </c>
      <c r="H129" s="21" t="s">
        <v>279</v>
      </c>
      <c r="I129" s="21" t="str">
        <f aca="false">IF(AND(H129="Yes",F129&gt;0),"Yes","No")</f>
        <v>Yes</v>
      </c>
      <c r="J129" s="21" t="s">
        <v>136</v>
      </c>
      <c r="K129" s="21" t="s">
        <v>325</v>
      </c>
      <c r="L129" s="21"/>
    </row>
    <row r="130" customFormat="false" ht="15" hidden="false" customHeight="true" outlineLevel="0" collapsed="false">
      <c r="A130" s="21" t="s">
        <v>203</v>
      </c>
      <c r="B130" s="21" t="s">
        <v>70</v>
      </c>
      <c r="C130" s="21" t="s">
        <v>189</v>
      </c>
      <c r="D130" s="21" t="s">
        <v>208</v>
      </c>
      <c r="E130" s="21" t="s">
        <v>60</v>
      </c>
      <c r="F130" s="37" t="n">
        <v>1908</v>
      </c>
      <c r="G130" s="38" t="n">
        <v>6.84</v>
      </c>
      <c r="H130" s="21" t="s">
        <v>279</v>
      </c>
      <c r="I130" s="21" t="str">
        <f aca="false">IF(AND(H130="Yes",F130&gt;0),"Yes","No")</f>
        <v>Yes</v>
      </c>
      <c r="J130" s="21" t="s">
        <v>136</v>
      </c>
      <c r="K130" s="21" t="s">
        <v>325</v>
      </c>
      <c r="L130" s="21"/>
    </row>
    <row r="131" customFormat="false" ht="15" hidden="false" customHeight="true" outlineLevel="0" collapsed="false">
      <c r="A131" s="21" t="s">
        <v>207</v>
      </c>
      <c r="B131" s="21" t="s">
        <v>64</v>
      </c>
      <c r="C131" s="21" t="s">
        <v>208</v>
      </c>
      <c r="D131" s="21" t="s">
        <v>208</v>
      </c>
      <c r="E131" s="21" t="s">
        <v>60</v>
      </c>
      <c r="F131" s="37" t="n">
        <v>2316</v>
      </c>
      <c r="G131" s="38" t="n">
        <v>6.23</v>
      </c>
      <c r="H131" s="21" t="s">
        <v>279</v>
      </c>
      <c r="I131" s="21" t="str">
        <f aca="false">IF(AND(H131="Yes",F131&gt;0),"Yes","No")</f>
        <v>Yes</v>
      </c>
      <c r="J131" s="21" t="s">
        <v>136</v>
      </c>
      <c r="K131" s="21" t="s">
        <v>326</v>
      </c>
      <c r="L131" s="21"/>
    </row>
    <row r="132" customFormat="false" ht="15" hidden="false" customHeight="true" outlineLevel="0" collapsed="false">
      <c r="A132" s="21" t="s">
        <v>210</v>
      </c>
      <c r="B132" s="21" t="s">
        <v>64</v>
      </c>
      <c r="C132" s="21" t="s">
        <v>208</v>
      </c>
      <c r="D132" s="21" t="s">
        <v>208</v>
      </c>
      <c r="E132" s="21" t="s">
        <v>60</v>
      </c>
      <c r="F132" s="37" t="n">
        <v>1722</v>
      </c>
      <c r="G132" s="38" t="n">
        <v>6.57</v>
      </c>
      <c r="H132" s="21" t="s">
        <v>279</v>
      </c>
      <c r="I132" s="21" t="str">
        <f aca="false">IF(AND(H132="Yes",F132&gt;0),"Yes","No")</f>
        <v>Yes</v>
      </c>
      <c r="J132" s="21" t="s">
        <v>136</v>
      </c>
      <c r="K132" s="21" t="s">
        <v>327</v>
      </c>
      <c r="L132" s="21"/>
    </row>
    <row r="133" customFormat="false" ht="15" hidden="false" customHeight="true" outlineLevel="0" collapsed="false">
      <c r="A133" s="21" t="s">
        <v>213</v>
      </c>
      <c r="B133" s="21" t="s">
        <v>64</v>
      </c>
      <c r="C133" s="21" t="s">
        <v>208</v>
      </c>
      <c r="D133" s="21" t="s">
        <v>208</v>
      </c>
      <c r="E133" s="21" t="s">
        <v>60</v>
      </c>
      <c r="F133" s="37" t="n">
        <v>2091</v>
      </c>
      <c r="G133" s="38" t="n">
        <v>6.71</v>
      </c>
      <c r="H133" s="21" t="s">
        <v>279</v>
      </c>
      <c r="I133" s="21" t="str">
        <f aca="false">IF(AND(H133="Yes",F133&gt;0),"Yes","No")</f>
        <v>Yes</v>
      </c>
      <c r="J133" s="21" t="s">
        <v>136</v>
      </c>
      <c r="K133" s="21" t="s">
        <v>328</v>
      </c>
      <c r="L133" s="21"/>
    </row>
    <row r="134" customFormat="false" ht="15" hidden="false" customHeight="true" outlineLevel="0" collapsed="false">
      <c r="A134" s="21" t="s">
        <v>215</v>
      </c>
      <c r="B134" s="21" t="s">
        <v>52</v>
      </c>
      <c r="C134" s="21" t="s">
        <v>208</v>
      </c>
      <c r="D134" s="21" t="s">
        <v>208</v>
      </c>
      <c r="E134" s="21" t="s">
        <v>60</v>
      </c>
      <c r="F134" s="37" t="n">
        <v>1334</v>
      </c>
      <c r="G134" s="38" t="n">
        <v>6.84</v>
      </c>
      <c r="H134" s="21" t="s">
        <v>279</v>
      </c>
      <c r="I134" s="21" t="str">
        <f aca="false">IF(AND(H134="Yes",F134&gt;0),"Yes","No")</f>
        <v>Yes</v>
      </c>
      <c r="J134" s="21" t="s">
        <v>136</v>
      </c>
      <c r="K134" s="21" t="s">
        <v>329</v>
      </c>
      <c r="L134" s="21" t="s">
        <v>321</v>
      </c>
    </row>
    <row r="135" customFormat="false" ht="15" hidden="false" customHeight="true" outlineLevel="0" collapsed="false">
      <c r="A135" s="21" t="s">
        <v>217</v>
      </c>
      <c r="B135" s="21" t="s">
        <v>52</v>
      </c>
      <c r="C135" s="21" t="s">
        <v>208</v>
      </c>
      <c r="D135" s="21" t="s">
        <v>208</v>
      </c>
      <c r="E135" s="21" t="s">
        <v>60</v>
      </c>
      <c r="F135" s="37" t="n">
        <v>99</v>
      </c>
      <c r="G135" s="38"/>
      <c r="H135" s="21" t="s">
        <v>279</v>
      </c>
      <c r="I135" s="21" t="str">
        <f aca="false">IF(AND(H135="Yes",F135&gt;0),"Yes","No")</f>
        <v>Yes</v>
      </c>
      <c r="J135" s="21" t="s">
        <v>136</v>
      </c>
      <c r="K135" s="21" t="s">
        <v>330</v>
      </c>
      <c r="L135" s="21" t="s">
        <v>307</v>
      </c>
    </row>
    <row r="136" customFormat="false" ht="21.75" hidden="false" customHeight="true" outlineLevel="0" collapsed="false">
      <c r="A136" s="21" t="s">
        <v>219</v>
      </c>
      <c r="B136" s="21" t="s">
        <v>81</v>
      </c>
      <c r="C136" s="21" t="s">
        <v>208</v>
      </c>
      <c r="D136" s="21" t="s">
        <v>208</v>
      </c>
      <c r="E136" s="21" t="s">
        <v>85</v>
      </c>
      <c r="F136" s="37" t="n">
        <v>1</v>
      </c>
      <c r="G136" s="38"/>
      <c r="H136" s="21" t="s">
        <v>279</v>
      </c>
      <c r="I136" s="21" t="str">
        <f aca="false">IF(AND(H136="Yes",F136&gt;0),"Yes","No")</f>
        <v>Yes</v>
      </c>
      <c r="J136" s="21" t="s">
        <v>136</v>
      </c>
      <c r="K136" s="21" t="s">
        <v>331</v>
      </c>
      <c r="L136" s="21" t="s">
        <v>332</v>
      </c>
    </row>
  </sheetData>
  <mergeCells count="12">
    <mergeCell ref="A1:L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6:L6"/>
  </mergeCells>
  <conditionalFormatting sqref="G8:G136">
    <cfRule type="colorScale" priority="2">
      <colorScale>
        <cfvo type="min" val="0"/>
        <cfvo type="percentile" val="50"/>
        <cfvo type="max" val="0"/>
        <color rgb="FFFCE8E8"/>
        <color rgb="FFFFF2CC"/>
        <color rgb="FFD7F2E4"/>
      </colorScale>
    </cfRule>
  </conditionalFormatting>
  <conditionalFormatting sqref="H8:H136">
    <cfRule type="expression" priority="3" aboveAverage="0" equalAverage="0" bottom="0" percent="0" rank="0" text="" dxfId="82">
      <formula>H8="No"</formula>
    </cfRule>
  </conditionalFormatting>
  <conditionalFormatting sqref="I8:I136">
    <cfRule type="expression" priority="4" aboveAverage="0" equalAverage="0" bottom="0" percent="0" rank="0" text="" dxfId="83">
      <formula>I8="Yes"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2026-07-29T18:25:17Z</dcterms:created>
  <dc:creator>openpyxl</dc:creator>
  <dc:description/>
  <dc:language>en-US</dc:language>
  <cp:lastModifiedBy/>
  <dcterms:modified xsi:type="dcterms:W3CDTF">2026-07-31T00:25:31Z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